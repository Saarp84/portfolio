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saarp\Documents\GitHub\portfolio\Projects\Fantasy\"/>
    </mc:Choice>
  </mc:AlternateContent>
  <xr:revisionPtr revIDLastSave="0" documentId="13_ncr:1_{B81904D5-E893-49A6-B359-D6FD39AAA70F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Sheet1" sheetId="1" r:id="rId1"/>
    <sheet name="ast-ft-3pt-stl" sheetId="2" r:id="rId2"/>
    <sheet name="reb-f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1" i="2" l="1"/>
  <c r="P51" i="2"/>
  <c r="N51" i="2"/>
  <c r="L51" i="2"/>
  <c r="K51" i="2"/>
  <c r="J51" i="2"/>
  <c r="I51" i="2"/>
  <c r="H51" i="2"/>
  <c r="G51" i="2"/>
  <c r="F51" i="2"/>
  <c r="E51" i="2"/>
  <c r="D51" i="2"/>
  <c r="T53" i="3"/>
  <c r="S53" i="3"/>
  <c r="Q53" i="3"/>
  <c r="P53" i="3"/>
  <c r="N53" i="3"/>
  <c r="M53" i="3"/>
  <c r="L53" i="3"/>
  <c r="K53" i="3"/>
  <c r="J53" i="3"/>
  <c r="I53" i="3"/>
  <c r="H53" i="3"/>
  <c r="G53" i="3"/>
  <c r="F53" i="3"/>
  <c r="R53" i="3" s="1"/>
  <c r="E53" i="3"/>
  <c r="D53" i="3"/>
  <c r="T34" i="3"/>
  <c r="S34" i="3"/>
  <c r="Q34" i="3"/>
  <c r="P34" i="3"/>
  <c r="N34" i="3"/>
  <c r="M34" i="3"/>
  <c r="L34" i="3"/>
  <c r="K34" i="3"/>
  <c r="J34" i="3"/>
  <c r="I34" i="3"/>
  <c r="H34" i="3"/>
  <c r="G34" i="3"/>
  <c r="F34" i="3"/>
  <c r="R34" i="3" s="1"/>
  <c r="E34" i="3"/>
  <c r="D34" i="3"/>
  <c r="O34" i="2"/>
  <c r="N34" i="2"/>
  <c r="L34" i="2"/>
  <c r="J34" i="2"/>
  <c r="I34" i="2"/>
  <c r="H34" i="2"/>
  <c r="G34" i="2"/>
  <c r="F34" i="2"/>
  <c r="E34" i="2"/>
  <c r="D34" i="2"/>
  <c r="P16" i="3"/>
  <c r="Q16" i="3"/>
  <c r="S16" i="3"/>
  <c r="T16" i="3"/>
  <c r="M16" i="3"/>
  <c r="N16" i="3"/>
  <c r="L16" i="3"/>
  <c r="K16" i="3"/>
  <c r="J16" i="3"/>
  <c r="I16" i="3"/>
  <c r="H16" i="3"/>
  <c r="G16" i="3"/>
  <c r="F16" i="3"/>
  <c r="R16" i="3" s="1"/>
  <c r="E16" i="3"/>
  <c r="D16" i="3"/>
  <c r="O16" i="2"/>
  <c r="N16" i="2"/>
  <c r="L16" i="2"/>
  <c r="J16" i="2"/>
  <c r="I16" i="2"/>
  <c r="H16" i="2"/>
  <c r="G16" i="2"/>
  <c r="F16" i="2"/>
  <c r="E16" i="2"/>
  <c r="D16" i="2"/>
</calcChain>
</file>

<file path=xl/sharedStrings.xml><?xml version="1.0" encoding="utf-8"?>
<sst xmlns="http://schemas.openxmlformats.org/spreadsheetml/2006/main" count="280" uniqueCount="95">
  <si>
    <t>PG</t>
  </si>
  <si>
    <t>SG</t>
  </si>
  <si>
    <t>SF</t>
  </si>
  <si>
    <t>PF</t>
  </si>
  <si>
    <t>C</t>
  </si>
  <si>
    <t>Tier1</t>
  </si>
  <si>
    <t>Tier2</t>
  </si>
  <si>
    <t>Tier3</t>
  </si>
  <si>
    <r>
      <t xml:space="preserve">Anthony Edwards
</t>
    </r>
    <r>
      <rPr>
        <sz val="8"/>
        <color theme="1"/>
        <rFont val="Arial"/>
        <family val="2"/>
        <scheme val="minor"/>
      </rPr>
      <t>Pts, trb, x3pa, fta, stl</t>
    </r>
  </si>
  <si>
    <r>
      <t xml:space="preserve">Austin Reaves
</t>
    </r>
    <r>
      <rPr>
        <sz val="8"/>
        <color theme="1"/>
        <rFont val="Arial"/>
        <family val="2"/>
        <scheme val="minor"/>
      </rPr>
      <t>Pts, ast, x3pa, fta</t>
    </r>
  </si>
  <si>
    <r>
      <t xml:space="preserve">Josh Hart
</t>
    </r>
    <r>
      <rPr>
        <sz val="8"/>
        <color theme="1"/>
        <rFont val="Arial"/>
        <family val="2"/>
        <scheme val="minor"/>
      </rPr>
      <t>Trb, ast, stl</t>
    </r>
  </si>
  <si>
    <r>
      <t xml:space="preserve">Fred VanVleet	
</t>
    </r>
    <r>
      <rPr>
        <sz val="8"/>
        <color theme="1"/>
        <rFont val="Arial"/>
        <family val="2"/>
        <scheme val="minor"/>
      </rPr>
      <t>Pts, ast, stl, x3pa</t>
    </r>
  </si>
  <si>
    <r>
      <t xml:space="preserve">Cade Cunningham
</t>
    </r>
    <r>
      <rPr>
        <sz val="8"/>
        <color theme="1"/>
        <rFont val="Arial"/>
        <family val="2"/>
        <scheme val="minor"/>
      </rPr>
      <t>Pts, ast, x3pa, fta(87%)</t>
    </r>
  </si>
  <si>
    <r>
      <t xml:space="preserve">Scoot Henderson
</t>
    </r>
    <r>
      <rPr>
        <sz val="8"/>
        <color theme="1"/>
        <rFont val="Arial"/>
        <family val="2"/>
        <scheme val="minor"/>
      </rPr>
      <t>Pts, ast, fta(79%)</t>
    </r>
  </si>
  <si>
    <r>
      <t xml:space="preserve">Franz Wagner
</t>
    </r>
    <r>
      <rPr>
        <sz val="8"/>
        <color theme="1"/>
        <rFont val="Arial"/>
        <family val="2"/>
        <scheme val="minor"/>
      </rPr>
      <t>Pts, trb, stl, fta(86%)</t>
    </r>
  </si>
  <si>
    <r>
      <t xml:space="preserve">Duncan Robinson
</t>
    </r>
    <r>
      <rPr>
        <sz val="8"/>
        <color theme="1"/>
        <rFont val="Arial"/>
        <family val="2"/>
        <scheme val="minor"/>
      </rPr>
      <t>Pts, x3pa(39%)</t>
    </r>
  </si>
  <si>
    <r>
      <t xml:space="preserve">Deni Avdija
</t>
    </r>
    <r>
      <rPr>
        <sz val="8"/>
        <color theme="1"/>
        <rFont val="Arial"/>
        <family val="2"/>
        <scheme val="minor"/>
      </rPr>
      <t>Pts, trb, stl, fta(76%)</t>
    </r>
  </si>
  <si>
    <r>
      <t xml:space="preserve">Paolo Banchero	
</t>
    </r>
    <r>
      <rPr>
        <sz val="8"/>
        <color theme="1"/>
        <rFont val="Arial"/>
        <family val="2"/>
        <scheme val="minor"/>
      </rPr>
      <t>Pts, trb, fta(73%)</t>
    </r>
  </si>
  <si>
    <r>
      <t xml:space="preserve">Bobby Portis		
</t>
    </r>
    <r>
      <rPr>
        <sz val="8"/>
        <color theme="1"/>
        <rFont val="Arial"/>
        <family val="2"/>
        <scheme val="minor"/>
      </rPr>
      <t>Pts, trb</t>
    </r>
  </si>
  <si>
    <r>
      <t xml:space="preserve">Jaden McDaniels /
Toumani Camara /
Obi Toppin 	
</t>
    </r>
    <r>
      <rPr>
        <sz val="8"/>
        <color theme="1"/>
        <rFont val="Arial"/>
        <family val="2"/>
        <scheme val="minor"/>
      </rPr>
      <t>trb, stl, blk</t>
    </r>
  </si>
  <si>
    <r>
      <t xml:space="preserve">Alperen Şengün
</t>
    </r>
    <r>
      <rPr>
        <sz val="8"/>
        <color theme="1"/>
        <rFont val="Arial"/>
        <family val="2"/>
        <scheme val="minor"/>
      </rPr>
      <t>Pts, trb, ast, stl, fta(69%)</t>
    </r>
  </si>
  <si>
    <r>
      <t xml:space="preserve">Myles Turner / 
Ivica Zubac
</t>
    </r>
    <r>
      <rPr>
        <sz val="8"/>
        <color theme="1"/>
        <rFont val="Arial"/>
        <family val="2"/>
        <scheme val="minor"/>
      </rPr>
      <t>Pts, trb, blk, fta</t>
    </r>
  </si>
  <si>
    <r>
      <t xml:space="preserve">Bam Adebayo
</t>
    </r>
    <r>
      <rPr>
        <sz val="8"/>
        <color theme="1"/>
        <rFont val="Arial"/>
        <family val="2"/>
        <scheme val="minor"/>
      </rPr>
      <t>Pts, trb, ast, fta(76%)</t>
    </r>
  </si>
  <si>
    <t>player</t>
  </si>
  <si>
    <t>season</t>
  </si>
  <si>
    <t>pos</t>
  </si>
  <si>
    <t>g</t>
  </si>
  <si>
    <t>pts_rank</t>
  </si>
  <si>
    <t>pts</t>
  </si>
  <si>
    <t>ast_rank</t>
  </si>
  <si>
    <t>ast</t>
  </si>
  <si>
    <t>stl_rank</t>
  </si>
  <si>
    <t>stl</t>
  </si>
  <si>
    <t>ft_percent_rank</t>
  </si>
  <si>
    <t>ft_percent</t>
  </si>
  <si>
    <t>fta</t>
  </si>
  <si>
    <t>x3p_rank</t>
  </si>
  <si>
    <t>x3p</t>
  </si>
  <si>
    <t>Jonas Valančiūnas</t>
  </si>
  <si>
    <t>Bam Adebayo</t>
  </si>
  <si>
    <t>Julius Randle</t>
  </si>
  <si>
    <t>Tyrese Maxey</t>
  </si>
  <si>
    <t>Trae Young</t>
  </si>
  <si>
    <t>D'Angelo Russell</t>
  </si>
  <si>
    <t>Matas Buzelis</t>
  </si>
  <si>
    <t>Klay Thompson</t>
  </si>
  <si>
    <t>Herbert Jones</t>
  </si>
  <si>
    <t>Deni Avdija</t>
  </si>
  <si>
    <t>Desmond Bane</t>
  </si>
  <si>
    <t>Anfernee Simons</t>
  </si>
  <si>
    <t>Onyeka Okongwu</t>
  </si>
  <si>
    <t>Bobby Portis</t>
  </si>
  <si>
    <t>Zach LaVine</t>
  </si>
  <si>
    <t>Kyrie Irving</t>
  </si>
  <si>
    <t>trb_rank</t>
  </si>
  <si>
    <t>trb</t>
  </si>
  <si>
    <t>blk_rank</t>
  </si>
  <si>
    <t>blk</t>
  </si>
  <si>
    <t>fg_percent_rank</t>
  </si>
  <si>
    <t>fg_percent</t>
  </si>
  <si>
    <t>Karl-Anthony Towns</t>
  </si>
  <si>
    <t>Ivica Zubac</t>
  </si>
  <si>
    <t>Obi Toppin</t>
  </si>
  <si>
    <t>Keegan Murray</t>
  </si>
  <si>
    <t>Cameron Johnson</t>
  </si>
  <si>
    <t>Zaccharie Risacher</t>
  </si>
  <si>
    <t>Luguentz Dort</t>
  </si>
  <si>
    <t>Jalen Green</t>
  </si>
  <si>
    <t>Brandin Podziemski</t>
  </si>
  <si>
    <t>Andrew Nembhard</t>
  </si>
  <si>
    <t>Al Horford</t>
  </si>
  <si>
    <t>Jordan Clarkson</t>
  </si>
  <si>
    <t>Derrick White</t>
  </si>
  <si>
    <t>Bradley Beal</t>
  </si>
  <si>
    <t>Austin Reaves</t>
  </si>
  <si>
    <t>Walker Kessler</t>
  </si>
  <si>
    <t>Kel'el Ware</t>
  </si>
  <si>
    <t>Domantas Sabonis</t>
  </si>
  <si>
    <t>Alex Sarr</t>
  </si>
  <si>
    <t>Pascal Siakam</t>
  </si>
  <si>
    <t>Jalen Suggs</t>
  </si>
  <si>
    <t>Jaylen Brown</t>
  </si>
  <si>
    <t>Keon Ellis</t>
  </si>
  <si>
    <t>Payton Pritchard</t>
  </si>
  <si>
    <t>Joel Embiid</t>
  </si>
  <si>
    <t>Anthony Davis</t>
  </si>
  <si>
    <t>Bennedict Mathurin</t>
  </si>
  <si>
    <t>Kevin Porter Jr.</t>
  </si>
  <si>
    <t>Zach Edey</t>
  </si>
  <si>
    <t>Brook Lopez</t>
  </si>
  <si>
    <t>Paolo Banchero</t>
  </si>
  <si>
    <t>Immanuel Quickley</t>
  </si>
  <si>
    <t>Darius Garland</t>
  </si>
  <si>
    <t>Duncan Robinson</t>
  </si>
  <si>
    <t>Aaron Nesmith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</si>
</sst>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Arial"/>
      <family val="2"/>
      <scheme val="minor"/>
    </font>
    <font>
      <sz val="8"/>
      <color theme="1"/>
      <name val="Arial"/>
      <family val="2"/>
      <scheme val="minor"/>
    </font>
    <font>
      <sz val="8"/>
      <name val="Arial"/>
      <family val="2"/>
      <scheme val="minor"/>
    </font>
    <font>
      <sz val="11"/>
      <color theme="1"/>
      <name val="Arial"/>
      <family val="2"/>
      <scheme val="minor"/>
    </font>
    <font>
      <b/>
      <sz val="7"/>
      <color rgb="FF212121"/>
      <name val="Segoe UI"/>
      <family val="2"/>
    </font>
    <font>
      <sz val="7"/>
      <color rgb="FF212121"/>
      <name val="Segoe UI"/>
      <family val="2"/>
    </font>
    <font>
      <b/>
      <sz val="7"/>
      <color rgb="FFFF0000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2" borderId="1" xfId="0" applyFill="1" applyBorder="1" applyAlignment="1">
      <alignment vertical="center" wrapText="1"/>
    </xf>
    <xf numFmtId="0" fontId="0" fillId="0" borderId="2" xfId="0" applyBorder="1" applyAlignment="1">
      <alignment vertical="center"/>
    </xf>
    <xf numFmtId="0" fontId="0" fillId="2" borderId="2" xfId="0" applyFill="1" applyBorder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vertical="center" wrapText="1"/>
    </xf>
    <xf numFmtId="0" fontId="0" fillId="3" borderId="2" xfId="0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vertical="center" wrapText="1"/>
    </xf>
    <xf numFmtId="0" fontId="0" fillId="4" borderId="2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5" borderId="1" xfId="0" applyFill="1" applyBorder="1" applyAlignment="1">
      <alignment horizontal="center"/>
    </xf>
    <xf numFmtId="0" fontId="0" fillId="5" borderId="0" xfId="0" applyFill="1" applyAlignment="1">
      <alignment vertical="center" wrapText="1"/>
    </xf>
    <xf numFmtId="0" fontId="0" fillId="5" borderId="2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vertical="center" wrapText="1"/>
    </xf>
    <xf numFmtId="0" fontId="0" fillId="6" borderId="2" xfId="0" applyFill="1" applyBorder="1" applyAlignment="1">
      <alignment vertical="center" wrapText="1"/>
    </xf>
    <xf numFmtId="0" fontId="0" fillId="6" borderId="1" xfId="0" applyFill="1" applyBorder="1" applyAlignment="1">
      <alignment vertical="center" wrapText="1"/>
    </xf>
    <xf numFmtId="0" fontId="4" fillId="0" borderId="3" xfId="0" applyFont="1" applyBorder="1" applyAlignment="1">
      <alignment horizontal="right" vertical="center" wrapText="1"/>
    </xf>
    <xf numFmtId="0" fontId="5" fillId="0" borderId="3" xfId="0" applyFont="1" applyBorder="1" applyAlignment="1">
      <alignment horizontal="right" vertical="center" wrapText="1"/>
    </xf>
    <xf numFmtId="164" fontId="5" fillId="0" borderId="3" xfId="0" applyNumberFormat="1" applyFont="1" applyBorder="1" applyAlignment="1">
      <alignment horizontal="right" vertical="center" wrapText="1"/>
    </xf>
    <xf numFmtId="164" fontId="4" fillId="7" borderId="3" xfId="0" applyNumberFormat="1" applyFont="1" applyFill="1" applyBorder="1" applyAlignment="1">
      <alignment horizontal="center" vertical="center" wrapText="1"/>
    </xf>
    <xf numFmtId="10" fontId="4" fillId="7" borderId="3" xfId="1" applyNumberFormat="1" applyFont="1" applyFill="1" applyBorder="1" applyAlignment="1">
      <alignment horizontal="right" vertical="center" wrapText="1"/>
    </xf>
    <xf numFmtId="0" fontId="6" fillId="0" borderId="3" xfId="0" applyFont="1" applyBorder="1" applyAlignment="1">
      <alignment horizontal="right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"/>
  <sheetViews>
    <sheetView workbookViewId="0">
      <selection activeCell="F8" sqref="F8"/>
    </sheetView>
  </sheetViews>
  <sheetFormatPr defaultRowHeight="14" x14ac:dyDescent="0.3"/>
  <cols>
    <col min="1" max="1" width="8.58203125" customWidth="1"/>
    <col min="2" max="2" width="24.08203125" customWidth="1"/>
    <col min="3" max="3" width="22.6640625" customWidth="1"/>
    <col min="4" max="4" width="19.08203125" customWidth="1"/>
    <col min="5" max="5" width="28.5" customWidth="1"/>
    <col min="6" max="6" width="19.08203125" customWidth="1"/>
  </cols>
  <sheetData>
    <row r="1" spans="1:6" ht="14.5" thickBot="1" x14ac:dyDescent="0.35">
      <c r="A1" s="7"/>
      <c r="B1" s="8" t="s">
        <v>0</v>
      </c>
      <c r="C1" s="9" t="s">
        <v>1</v>
      </c>
      <c r="D1" s="13" t="s">
        <v>2</v>
      </c>
      <c r="E1" s="17" t="s">
        <v>3</v>
      </c>
      <c r="F1" s="21" t="s">
        <v>4</v>
      </c>
    </row>
    <row r="2" spans="1:6" ht="24" x14ac:dyDescent="0.3">
      <c r="A2" s="1" t="s">
        <v>5</v>
      </c>
      <c r="B2" s="6" t="s">
        <v>12</v>
      </c>
      <c r="C2" s="10" t="s">
        <v>8</v>
      </c>
      <c r="D2" s="14" t="s">
        <v>14</v>
      </c>
      <c r="E2" s="18" t="s">
        <v>17</v>
      </c>
      <c r="F2" s="22" t="s">
        <v>20</v>
      </c>
    </row>
    <row r="3" spans="1:6" ht="24" x14ac:dyDescent="0.3">
      <c r="A3" s="4" t="s">
        <v>6</v>
      </c>
      <c r="B3" s="5" t="s">
        <v>11</v>
      </c>
      <c r="C3" s="11" t="s">
        <v>9</v>
      </c>
      <c r="D3" s="15" t="s">
        <v>16</v>
      </c>
      <c r="E3" s="19" t="s">
        <v>18</v>
      </c>
      <c r="F3" s="23" t="s">
        <v>22</v>
      </c>
    </row>
    <row r="4" spans="1:6" ht="26" customHeight="1" thickBot="1" x14ac:dyDescent="0.35">
      <c r="A4" s="2" t="s">
        <v>7</v>
      </c>
      <c r="B4" s="3" t="s">
        <v>13</v>
      </c>
      <c r="C4" s="12" t="s">
        <v>10</v>
      </c>
      <c r="D4" s="16" t="s">
        <v>15</v>
      </c>
      <c r="E4" s="20" t="s">
        <v>19</v>
      </c>
      <c r="F4" s="24" t="s">
        <v>21</v>
      </c>
    </row>
    <row r="5" spans="1:6" x14ac:dyDescent="0.3">
      <c r="A5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8682C-4BC5-4CA4-8F29-4FBF1E7BAF95}">
  <dimension ref="A2:Q51"/>
  <sheetViews>
    <sheetView tabSelected="1" zoomScaleNormal="100" workbookViewId="0">
      <selection activeCell="R20" sqref="R20"/>
    </sheetView>
  </sheetViews>
  <sheetFormatPr defaultRowHeight="14" x14ac:dyDescent="0.3"/>
  <cols>
    <col min="1" max="1" width="15.25" customWidth="1"/>
    <col min="13" max="13" width="8.6640625" customWidth="1"/>
  </cols>
  <sheetData>
    <row r="2" spans="1:15" ht="21" x14ac:dyDescent="0.3">
      <c r="A2" s="25" t="s">
        <v>23</v>
      </c>
      <c r="B2" s="25" t="s">
        <v>24</v>
      </c>
      <c r="C2" s="25" t="s">
        <v>25</v>
      </c>
      <c r="D2" s="25" t="s">
        <v>26</v>
      </c>
      <c r="E2" s="25" t="s">
        <v>27</v>
      </c>
      <c r="F2" s="30" t="s">
        <v>28</v>
      </c>
      <c r="G2" s="25" t="s">
        <v>29</v>
      </c>
      <c r="H2" s="30" t="s">
        <v>30</v>
      </c>
      <c r="I2" s="25" t="s">
        <v>31</v>
      </c>
      <c r="J2" s="30" t="s">
        <v>32</v>
      </c>
      <c r="K2" s="25" t="s">
        <v>33</v>
      </c>
      <c r="L2" s="30" t="s">
        <v>34</v>
      </c>
      <c r="M2" s="25" t="s">
        <v>35</v>
      </c>
      <c r="N2" s="25" t="s">
        <v>36</v>
      </c>
      <c r="O2" s="30" t="s">
        <v>37</v>
      </c>
    </row>
    <row r="3" spans="1:15" x14ac:dyDescent="0.3">
      <c r="A3" s="26" t="s">
        <v>42</v>
      </c>
      <c r="B3" s="26">
        <v>2025</v>
      </c>
      <c r="C3" s="26" t="s">
        <v>0</v>
      </c>
      <c r="D3" s="26">
        <v>76</v>
      </c>
      <c r="E3" s="26">
        <v>7</v>
      </c>
      <c r="F3" s="26">
        <v>1841</v>
      </c>
      <c r="G3" s="26">
        <v>1</v>
      </c>
      <c r="H3" s="26">
        <v>880</v>
      </c>
      <c r="I3" s="26">
        <v>30.5</v>
      </c>
      <c r="J3" s="26">
        <v>91</v>
      </c>
      <c r="K3" s="26">
        <v>77</v>
      </c>
      <c r="L3" s="26">
        <v>0.875</v>
      </c>
      <c r="M3" s="26">
        <v>561</v>
      </c>
      <c r="N3" s="26">
        <v>13.5</v>
      </c>
      <c r="O3" s="26">
        <v>218</v>
      </c>
    </row>
    <row r="4" spans="1:15" x14ac:dyDescent="0.3">
      <c r="A4" s="25" t="s">
        <v>41</v>
      </c>
      <c r="B4" s="26">
        <v>2025</v>
      </c>
      <c r="C4" s="26" t="s">
        <v>0</v>
      </c>
      <c r="D4" s="26">
        <v>52</v>
      </c>
      <c r="E4" s="26">
        <v>37</v>
      </c>
      <c r="F4" s="26">
        <v>1369</v>
      </c>
      <c r="G4" s="26">
        <v>56</v>
      </c>
      <c r="H4" s="26">
        <v>317</v>
      </c>
      <c r="I4" s="26">
        <v>30.5</v>
      </c>
      <c r="J4" s="26">
        <v>91</v>
      </c>
      <c r="K4" s="26">
        <v>70</v>
      </c>
      <c r="L4" s="26">
        <v>0.879</v>
      </c>
      <c r="M4" s="26">
        <v>289</v>
      </c>
      <c r="N4" s="26">
        <v>47</v>
      </c>
      <c r="O4" s="26">
        <v>161</v>
      </c>
    </row>
    <row r="5" spans="1:15" x14ac:dyDescent="0.3">
      <c r="A5" s="26" t="s">
        <v>43</v>
      </c>
      <c r="B5" s="26">
        <v>2025</v>
      </c>
      <c r="C5" s="26" t="s">
        <v>0</v>
      </c>
      <c r="D5" s="26">
        <v>58</v>
      </c>
      <c r="E5" s="26">
        <v>143</v>
      </c>
      <c r="F5" s="26">
        <v>732</v>
      </c>
      <c r="G5" s="26">
        <v>63</v>
      </c>
      <c r="H5" s="26">
        <v>297</v>
      </c>
      <c r="I5" s="26">
        <v>138</v>
      </c>
      <c r="J5" s="26">
        <v>56</v>
      </c>
      <c r="K5" s="26">
        <v>130</v>
      </c>
      <c r="L5" s="26">
        <v>0.83399999999999996</v>
      </c>
      <c r="M5" s="26">
        <v>145</v>
      </c>
      <c r="N5" s="26">
        <v>109.5</v>
      </c>
      <c r="O5" s="26">
        <v>113</v>
      </c>
    </row>
    <row r="6" spans="1:15" x14ac:dyDescent="0.3">
      <c r="A6" s="26" t="s">
        <v>53</v>
      </c>
      <c r="B6" s="26">
        <v>2025</v>
      </c>
      <c r="C6" s="26" t="s">
        <v>1</v>
      </c>
      <c r="D6" s="26">
        <v>50</v>
      </c>
      <c r="E6" s="26">
        <v>54</v>
      </c>
      <c r="F6" s="26">
        <v>1234</v>
      </c>
      <c r="G6" s="26">
        <v>81</v>
      </c>
      <c r="H6" s="26">
        <v>231</v>
      </c>
      <c r="I6" s="26">
        <v>97.5</v>
      </c>
      <c r="J6" s="26">
        <v>66</v>
      </c>
      <c r="K6" s="26">
        <v>32</v>
      </c>
      <c r="L6" s="26">
        <v>0.91600000000000004</v>
      </c>
      <c r="M6" s="26">
        <v>214</v>
      </c>
      <c r="N6" s="26">
        <v>67</v>
      </c>
      <c r="O6" s="26">
        <v>144</v>
      </c>
    </row>
    <row r="7" spans="1:15" x14ac:dyDescent="0.3">
      <c r="A7" s="26" t="s">
        <v>48</v>
      </c>
      <c r="B7" s="26">
        <v>2025</v>
      </c>
      <c r="C7" s="26" t="s">
        <v>1</v>
      </c>
      <c r="D7" s="26">
        <v>69</v>
      </c>
      <c r="E7" s="26">
        <v>46</v>
      </c>
      <c r="F7" s="26">
        <v>1327</v>
      </c>
      <c r="G7" s="26">
        <v>32</v>
      </c>
      <c r="H7" s="26">
        <v>369</v>
      </c>
      <c r="I7" s="26">
        <v>46.5</v>
      </c>
      <c r="J7" s="26">
        <v>80</v>
      </c>
      <c r="K7" s="26">
        <v>49.5</v>
      </c>
      <c r="L7" s="26">
        <v>0.89400000000000002</v>
      </c>
      <c r="M7" s="26">
        <v>198</v>
      </c>
      <c r="N7" s="26">
        <v>43.5</v>
      </c>
      <c r="O7" s="26">
        <v>164</v>
      </c>
    </row>
    <row r="8" spans="1:15" x14ac:dyDescent="0.3">
      <c r="A8" s="26" t="s">
        <v>49</v>
      </c>
      <c r="B8" s="26">
        <v>2025</v>
      </c>
      <c r="C8" s="26" t="s">
        <v>1</v>
      </c>
      <c r="D8" s="26">
        <v>70</v>
      </c>
      <c r="E8" s="26">
        <v>40</v>
      </c>
      <c r="F8" s="26">
        <v>1348</v>
      </c>
      <c r="G8" s="26">
        <v>46.5</v>
      </c>
      <c r="H8" s="26">
        <v>337</v>
      </c>
      <c r="I8" s="26">
        <v>121</v>
      </c>
      <c r="J8" s="26">
        <v>60</v>
      </c>
      <c r="K8" s="26">
        <v>40.5</v>
      </c>
      <c r="L8" s="26">
        <v>0.90200000000000002</v>
      </c>
      <c r="M8" s="26">
        <v>194</v>
      </c>
      <c r="N8" s="26">
        <v>17</v>
      </c>
      <c r="O8" s="26">
        <v>215</v>
      </c>
    </row>
    <row r="9" spans="1:15" x14ac:dyDescent="0.3">
      <c r="A9" s="26" t="s">
        <v>52</v>
      </c>
      <c r="B9" s="26">
        <v>2025</v>
      </c>
      <c r="C9" s="26" t="s">
        <v>2</v>
      </c>
      <c r="D9" s="26">
        <v>74</v>
      </c>
      <c r="E9" s="26">
        <v>12</v>
      </c>
      <c r="F9" s="26">
        <v>1724</v>
      </c>
      <c r="G9" s="26">
        <v>59</v>
      </c>
      <c r="H9" s="26">
        <v>310</v>
      </c>
      <c r="I9" s="26">
        <v>130.5</v>
      </c>
      <c r="J9" s="26">
        <v>58</v>
      </c>
      <c r="K9" s="26">
        <v>152</v>
      </c>
      <c r="L9" s="26">
        <v>0.82499999999999996</v>
      </c>
      <c r="M9" s="26">
        <v>285</v>
      </c>
      <c r="N9" s="26">
        <v>8</v>
      </c>
      <c r="O9" s="26">
        <v>239</v>
      </c>
    </row>
    <row r="10" spans="1:15" x14ac:dyDescent="0.3">
      <c r="A10" s="26" t="s">
        <v>45</v>
      </c>
      <c r="B10" s="26">
        <v>2025</v>
      </c>
      <c r="C10" s="26" t="s">
        <v>2</v>
      </c>
      <c r="D10" s="26">
        <v>72</v>
      </c>
      <c r="E10" s="26">
        <v>84</v>
      </c>
      <c r="F10" s="26">
        <v>1005</v>
      </c>
      <c r="G10" s="26">
        <v>154.5</v>
      </c>
      <c r="H10" s="26">
        <v>145</v>
      </c>
      <c r="I10" s="26">
        <v>164</v>
      </c>
      <c r="J10" s="26">
        <v>50</v>
      </c>
      <c r="K10" s="26">
        <v>37.5</v>
      </c>
      <c r="L10" s="26">
        <v>0.90500000000000003</v>
      </c>
      <c r="M10" s="26">
        <v>74</v>
      </c>
      <c r="N10" s="26">
        <v>15.5</v>
      </c>
      <c r="O10" s="26">
        <v>216</v>
      </c>
    </row>
    <row r="11" spans="1:15" x14ac:dyDescent="0.3">
      <c r="A11" s="26" t="s">
        <v>46</v>
      </c>
      <c r="B11" s="26">
        <v>2025</v>
      </c>
      <c r="C11" s="26" t="s">
        <v>2</v>
      </c>
      <c r="D11" s="26">
        <v>20</v>
      </c>
      <c r="E11" s="26">
        <v>353</v>
      </c>
      <c r="F11" s="26">
        <v>205</v>
      </c>
      <c r="G11" s="26">
        <v>304.5</v>
      </c>
      <c r="H11" s="26">
        <v>65</v>
      </c>
      <c r="I11" s="26">
        <v>239</v>
      </c>
      <c r="J11" s="26">
        <v>37</v>
      </c>
      <c r="K11" s="26">
        <v>152</v>
      </c>
      <c r="L11" s="26">
        <v>0.82499999999999996</v>
      </c>
      <c r="M11" s="26">
        <v>40</v>
      </c>
      <c r="N11" s="26">
        <v>333</v>
      </c>
      <c r="O11" s="26">
        <v>22</v>
      </c>
    </row>
    <row r="12" spans="1:15" x14ac:dyDescent="0.3">
      <c r="A12" s="26" t="s">
        <v>47</v>
      </c>
      <c r="B12" s="26">
        <v>2025</v>
      </c>
      <c r="C12" s="26" t="s">
        <v>2</v>
      </c>
      <c r="D12" s="26">
        <v>72</v>
      </c>
      <c r="E12" s="26">
        <v>56</v>
      </c>
      <c r="F12" s="26">
        <v>1219</v>
      </c>
      <c r="G12" s="26">
        <v>68</v>
      </c>
      <c r="H12" s="26">
        <v>281</v>
      </c>
      <c r="I12" s="26">
        <v>74.5</v>
      </c>
      <c r="J12" s="26">
        <v>71</v>
      </c>
      <c r="K12" s="26">
        <v>250.5</v>
      </c>
      <c r="L12" s="26">
        <v>0.78</v>
      </c>
      <c r="M12" s="26">
        <v>372</v>
      </c>
      <c r="N12" s="26">
        <v>93</v>
      </c>
      <c r="O12" s="26">
        <v>125</v>
      </c>
    </row>
    <row r="13" spans="1:15" x14ac:dyDescent="0.3">
      <c r="A13" s="26" t="s">
        <v>51</v>
      </c>
      <c r="B13" s="26">
        <v>2025</v>
      </c>
      <c r="C13" s="26" t="s">
        <v>3</v>
      </c>
      <c r="D13" s="26">
        <v>49</v>
      </c>
      <c r="E13" s="26">
        <v>163.5</v>
      </c>
      <c r="F13" s="26">
        <v>680</v>
      </c>
      <c r="G13" s="26">
        <v>222.5</v>
      </c>
      <c r="H13" s="26">
        <v>104</v>
      </c>
      <c r="I13" s="26">
        <v>255</v>
      </c>
      <c r="J13" s="26">
        <v>35</v>
      </c>
      <c r="K13" s="26">
        <v>128</v>
      </c>
      <c r="L13" s="26">
        <v>0.83599999999999997</v>
      </c>
      <c r="M13" s="26">
        <v>73</v>
      </c>
      <c r="N13" s="26">
        <v>210.5</v>
      </c>
      <c r="O13" s="26">
        <v>65</v>
      </c>
    </row>
    <row r="14" spans="1:15" x14ac:dyDescent="0.3">
      <c r="A14" s="26" t="s">
        <v>50</v>
      </c>
      <c r="B14" s="26">
        <v>2025</v>
      </c>
      <c r="C14" s="26" t="s">
        <v>4</v>
      </c>
      <c r="D14" s="26">
        <v>74</v>
      </c>
      <c r="E14" s="26">
        <v>88</v>
      </c>
      <c r="F14" s="26">
        <v>988</v>
      </c>
      <c r="G14" s="26">
        <v>122.5</v>
      </c>
      <c r="H14" s="26">
        <v>168</v>
      </c>
      <c r="I14" s="26">
        <v>85.5</v>
      </c>
      <c r="J14" s="26">
        <v>69</v>
      </c>
      <c r="K14" s="26">
        <v>296.5</v>
      </c>
      <c r="L14" s="26">
        <v>0.75900000000000001</v>
      </c>
      <c r="M14" s="26">
        <v>216</v>
      </c>
      <c r="N14" s="26">
        <v>248</v>
      </c>
      <c r="O14" s="26">
        <v>48</v>
      </c>
    </row>
    <row r="15" spans="1:15" x14ac:dyDescent="0.3">
      <c r="A15" s="26" t="s">
        <v>39</v>
      </c>
      <c r="B15" s="26">
        <v>2025</v>
      </c>
      <c r="C15" s="26" t="s">
        <v>4</v>
      </c>
      <c r="D15" s="26">
        <v>78</v>
      </c>
      <c r="E15" s="26">
        <v>32</v>
      </c>
      <c r="F15" s="26">
        <v>1410</v>
      </c>
      <c r="G15" s="26">
        <v>46.5</v>
      </c>
      <c r="H15" s="26">
        <v>337</v>
      </c>
      <c r="I15" s="26">
        <v>19.5</v>
      </c>
      <c r="J15" s="26">
        <v>98</v>
      </c>
      <c r="K15" s="26">
        <v>282.5</v>
      </c>
      <c r="L15" s="26">
        <v>0.76500000000000001</v>
      </c>
      <c r="M15" s="26">
        <v>328</v>
      </c>
      <c r="N15" s="26">
        <v>181</v>
      </c>
      <c r="O15" s="26">
        <v>79</v>
      </c>
    </row>
    <row r="16" spans="1:15" x14ac:dyDescent="0.3">
      <c r="D16" s="27">
        <f>AVERAGE(D3:D15)</f>
        <v>62.615384615384613</v>
      </c>
      <c r="E16" s="28">
        <f>AVERAGE(E3:E15)</f>
        <v>85.807692307692307</v>
      </c>
      <c r="F16" s="26">
        <f>SUM(F3:F15)</f>
        <v>15082</v>
      </c>
      <c r="G16" s="28">
        <f>AVERAGE(G3:G15)</f>
        <v>96.692307692307693</v>
      </c>
      <c r="H16" s="26">
        <f>SUM(H3:H15)</f>
        <v>3841</v>
      </c>
      <c r="I16" s="28">
        <f>AVERAGE(I3:I15)</f>
        <v>110.15384615384616</v>
      </c>
      <c r="J16" s="26">
        <f>SUM(J3:J15)</f>
        <v>862</v>
      </c>
      <c r="L16" s="29">
        <f>SUMPRODUCT(L3:L15,M3:M15)/SUM(M3:M15)</f>
        <v>0.84142087654734021</v>
      </c>
      <c r="N16" s="28">
        <f>AVERAGE(N3:N15)</f>
        <v>106.65384615384616</v>
      </c>
      <c r="O16" s="26">
        <f>SUM(O3:O15)</f>
        <v>1809</v>
      </c>
    </row>
    <row r="21" spans="1:15" ht="21" x14ac:dyDescent="0.3">
      <c r="A21" s="25" t="s">
        <v>23</v>
      </c>
      <c r="B21" s="25" t="s">
        <v>24</v>
      </c>
      <c r="C21" s="25" t="s">
        <v>25</v>
      </c>
      <c r="D21" s="25" t="s">
        <v>26</v>
      </c>
      <c r="E21" s="25" t="s">
        <v>27</v>
      </c>
      <c r="F21" s="25" t="s">
        <v>28</v>
      </c>
      <c r="G21" s="25" t="s">
        <v>29</v>
      </c>
      <c r="H21" s="25" t="s">
        <v>30</v>
      </c>
      <c r="I21" s="25" t="s">
        <v>31</v>
      </c>
      <c r="J21" s="25" t="s">
        <v>32</v>
      </c>
      <c r="K21" s="25" t="s">
        <v>33</v>
      </c>
      <c r="L21" s="30" t="s">
        <v>34</v>
      </c>
      <c r="M21" s="25" t="s">
        <v>35</v>
      </c>
      <c r="N21" s="25" t="s">
        <v>36</v>
      </c>
      <c r="O21" s="25" t="s">
        <v>37</v>
      </c>
    </row>
    <row r="22" spans="1:15" x14ac:dyDescent="0.3">
      <c r="A22" s="26" t="s">
        <v>50</v>
      </c>
      <c r="B22" s="26">
        <v>2025</v>
      </c>
      <c r="C22" s="26" t="s">
        <v>4</v>
      </c>
      <c r="D22" s="26">
        <v>74</v>
      </c>
      <c r="E22" s="26">
        <v>88</v>
      </c>
      <c r="F22" s="26">
        <v>988</v>
      </c>
      <c r="G22" s="26">
        <v>122.5</v>
      </c>
      <c r="H22" s="26">
        <v>168</v>
      </c>
      <c r="I22" s="26">
        <v>85.5</v>
      </c>
      <c r="J22" s="26">
        <v>69</v>
      </c>
      <c r="K22" s="26">
        <v>296.5</v>
      </c>
      <c r="L22" s="26">
        <v>0.75900000000000001</v>
      </c>
      <c r="M22" s="26">
        <v>216</v>
      </c>
      <c r="N22" s="26">
        <v>248</v>
      </c>
      <c r="O22" s="26">
        <v>48</v>
      </c>
    </row>
    <row r="23" spans="1:15" x14ac:dyDescent="0.3">
      <c r="A23" s="25" t="s">
        <v>70</v>
      </c>
      <c r="B23" s="26">
        <v>2025</v>
      </c>
      <c r="C23" s="26" t="s">
        <v>4</v>
      </c>
      <c r="D23" s="26">
        <v>60</v>
      </c>
      <c r="E23" s="26">
        <v>217</v>
      </c>
      <c r="F23" s="26">
        <v>538</v>
      </c>
      <c r="G23" s="26">
        <v>179.5</v>
      </c>
      <c r="H23" s="26">
        <v>128</v>
      </c>
      <c r="I23" s="26">
        <v>247.5</v>
      </c>
      <c r="J23" s="26">
        <v>36</v>
      </c>
      <c r="K23" s="26">
        <v>46.5</v>
      </c>
      <c r="L23" s="26">
        <v>0.89500000000000002</v>
      </c>
      <c r="M23" s="26">
        <v>38</v>
      </c>
      <c r="N23" s="26">
        <v>106</v>
      </c>
      <c r="O23" s="26">
        <v>114</v>
      </c>
    </row>
    <row r="24" spans="1:15" x14ac:dyDescent="0.3">
      <c r="A24" s="26" t="s">
        <v>63</v>
      </c>
      <c r="B24" s="26">
        <v>2025</v>
      </c>
      <c r="C24" s="26" t="s">
        <v>3</v>
      </c>
      <c r="D24" s="26">
        <v>76</v>
      </c>
      <c r="E24" s="26">
        <v>94.5</v>
      </c>
      <c r="F24" s="26">
        <v>942</v>
      </c>
      <c r="G24" s="26">
        <v>213</v>
      </c>
      <c r="H24" s="26">
        <v>109</v>
      </c>
      <c r="I24" s="26">
        <v>114.5</v>
      </c>
      <c r="J24" s="26">
        <v>61</v>
      </c>
      <c r="K24" s="26">
        <v>135</v>
      </c>
      <c r="L24" s="26">
        <v>0.83299999999999996</v>
      </c>
      <c r="M24" s="26">
        <v>72</v>
      </c>
      <c r="N24" s="26">
        <v>59</v>
      </c>
      <c r="O24" s="26">
        <v>154</v>
      </c>
    </row>
    <row r="25" spans="1:15" x14ac:dyDescent="0.3">
      <c r="A25" s="26" t="s">
        <v>40</v>
      </c>
      <c r="B25" s="26">
        <v>2025</v>
      </c>
      <c r="C25" s="26" t="s">
        <v>3</v>
      </c>
      <c r="D25" s="26">
        <v>69</v>
      </c>
      <c r="E25" s="26">
        <v>50</v>
      </c>
      <c r="F25" s="26">
        <v>1288</v>
      </c>
      <c r="G25" s="26">
        <v>54</v>
      </c>
      <c r="H25" s="26">
        <v>323</v>
      </c>
      <c r="I25" s="26">
        <v>181</v>
      </c>
      <c r="J25" s="26">
        <v>47</v>
      </c>
      <c r="K25" s="26">
        <v>205</v>
      </c>
      <c r="L25" s="26">
        <v>0.80600000000000005</v>
      </c>
      <c r="M25" s="26">
        <v>335</v>
      </c>
      <c r="N25" s="26">
        <v>120</v>
      </c>
      <c r="O25" s="26">
        <v>108</v>
      </c>
    </row>
    <row r="26" spans="1:15" x14ac:dyDescent="0.3">
      <c r="A26" s="26" t="s">
        <v>42</v>
      </c>
      <c r="B26" s="26">
        <v>2025</v>
      </c>
      <c r="C26" s="26" t="s">
        <v>0</v>
      </c>
      <c r="D26" s="26">
        <v>76</v>
      </c>
      <c r="E26" s="26">
        <v>7</v>
      </c>
      <c r="F26" s="26">
        <v>1841</v>
      </c>
      <c r="G26" s="26">
        <v>1</v>
      </c>
      <c r="H26" s="26">
        <v>880</v>
      </c>
      <c r="I26" s="26">
        <v>30.5</v>
      </c>
      <c r="J26" s="26">
        <v>91</v>
      </c>
      <c r="K26" s="26">
        <v>77</v>
      </c>
      <c r="L26" s="26">
        <v>0.875</v>
      </c>
      <c r="M26" s="26">
        <v>561</v>
      </c>
      <c r="N26" s="26">
        <v>13.5</v>
      </c>
      <c r="O26" s="26">
        <v>218</v>
      </c>
    </row>
    <row r="27" spans="1:15" x14ac:dyDescent="0.3">
      <c r="A27" s="26" t="s">
        <v>43</v>
      </c>
      <c r="B27" s="26">
        <v>2025</v>
      </c>
      <c r="C27" s="26" t="s">
        <v>0</v>
      </c>
      <c r="D27" s="26">
        <v>58</v>
      </c>
      <c r="E27" s="26">
        <v>143</v>
      </c>
      <c r="F27" s="26">
        <v>732</v>
      </c>
      <c r="G27" s="26">
        <v>63</v>
      </c>
      <c r="H27" s="26">
        <v>297</v>
      </c>
      <c r="I27" s="26">
        <v>138</v>
      </c>
      <c r="J27" s="26">
        <v>56</v>
      </c>
      <c r="K27" s="26">
        <v>130</v>
      </c>
      <c r="L27" s="26">
        <v>0.83399999999999996</v>
      </c>
      <c r="M27" s="26">
        <v>145</v>
      </c>
      <c r="N27" s="26">
        <v>109.5</v>
      </c>
      <c r="O27" s="26">
        <v>113</v>
      </c>
    </row>
    <row r="28" spans="1:15" x14ac:dyDescent="0.3">
      <c r="A28" s="26" t="s">
        <v>45</v>
      </c>
      <c r="B28" s="26">
        <v>2025</v>
      </c>
      <c r="C28" s="26" t="s">
        <v>2</v>
      </c>
      <c r="D28" s="26">
        <v>72</v>
      </c>
      <c r="E28" s="26">
        <v>84</v>
      </c>
      <c r="F28" s="26">
        <v>1005</v>
      </c>
      <c r="G28" s="26">
        <v>154.5</v>
      </c>
      <c r="H28" s="26">
        <v>145</v>
      </c>
      <c r="I28" s="26">
        <v>164</v>
      </c>
      <c r="J28" s="26">
        <v>50</v>
      </c>
      <c r="K28" s="26">
        <v>37.5</v>
      </c>
      <c r="L28" s="26">
        <v>0.90500000000000003</v>
      </c>
      <c r="M28" s="26">
        <v>74</v>
      </c>
      <c r="N28" s="26">
        <v>15.5</v>
      </c>
      <c r="O28" s="26">
        <v>216</v>
      </c>
    </row>
    <row r="29" spans="1:15" x14ac:dyDescent="0.3">
      <c r="A29" s="26" t="s">
        <v>71</v>
      </c>
      <c r="B29" s="26">
        <v>2025</v>
      </c>
      <c r="C29" s="26" t="s">
        <v>1</v>
      </c>
      <c r="D29" s="26">
        <v>37</v>
      </c>
      <c r="E29" s="26">
        <v>188</v>
      </c>
      <c r="F29" s="26">
        <v>600</v>
      </c>
      <c r="G29" s="26">
        <v>160</v>
      </c>
      <c r="H29" s="26">
        <v>138</v>
      </c>
      <c r="I29" s="26">
        <v>281</v>
      </c>
      <c r="J29" s="26">
        <v>31</v>
      </c>
      <c r="K29" s="26">
        <v>226</v>
      </c>
      <c r="L29" s="26">
        <v>0.79700000000000004</v>
      </c>
      <c r="M29" s="26">
        <v>143</v>
      </c>
      <c r="N29" s="26">
        <v>170</v>
      </c>
      <c r="O29" s="26">
        <v>84</v>
      </c>
    </row>
    <row r="30" spans="1:15" x14ac:dyDescent="0.3">
      <c r="A30" s="26" t="s">
        <v>48</v>
      </c>
      <c r="B30" s="26">
        <v>2025</v>
      </c>
      <c r="C30" s="26" t="s">
        <v>1</v>
      </c>
      <c r="D30" s="26">
        <v>69</v>
      </c>
      <c r="E30" s="26">
        <v>46</v>
      </c>
      <c r="F30" s="26">
        <v>1327</v>
      </c>
      <c r="G30" s="26">
        <v>32</v>
      </c>
      <c r="H30" s="26">
        <v>369</v>
      </c>
      <c r="I30" s="26">
        <v>46.5</v>
      </c>
      <c r="J30" s="26">
        <v>80</v>
      </c>
      <c r="K30" s="26">
        <v>49.5</v>
      </c>
      <c r="L30" s="26">
        <v>0.89400000000000002</v>
      </c>
      <c r="M30" s="26">
        <v>198</v>
      </c>
      <c r="N30" s="26">
        <v>43.5</v>
      </c>
      <c r="O30" s="26">
        <v>164</v>
      </c>
    </row>
    <row r="31" spans="1:15" x14ac:dyDescent="0.3">
      <c r="A31" s="26" t="s">
        <v>72</v>
      </c>
      <c r="B31" s="26">
        <v>2025</v>
      </c>
      <c r="C31" s="26" t="s">
        <v>1</v>
      </c>
      <c r="D31" s="26">
        <v>76</v>
      </c>
      <c r="E31" s="26">
        <v>53</v>
      </c>
      <c r="F31" s="26">
        <v>1248</v>
      </c>
      <c r="G31" s="26">
        <v>37</v>
      </c>
      <c r="H31" s="26">
        <v>361</v>
      </c>
      <c r="I31" s="26">
        <v>71</v>
      </c>
      <c r="J31" s="26">
        <v>72</v>
      </c>
      <c r="K31" s="26">
        <v>120.5</v>
      </c>
      <c r="L31" s="26">
        <v>0.83899999999999997</v>
      </c>
      <c r="M31" s="26">
        <v>161</v>
      </c>
      <c r="N31" s="26">
        <v>4</v>
      </c>
      <c r="O31" s="26">
        <v>265</v>
      </c>
    </row>
    <row r="32" spans="1:15" x14ac:dyDescent="0.3">
      <c r="A32" s="26" t="s">
        <v>73</v>
      </c>
      <c r="B32" s="26">
        <v>2025</v>
      </c>
      <c r="C32" s="26" t="s">
        <v>1</v>
      </c>
      <c r="D32" s="26">
        <v>53</v>
      </c>
      <c r="E32" s="26">
        <v>101</v>
      </c>
      <c r="F32" s="26">
        <v>902</v>
      </c>
      <c r="G32" s="26">
        <v>104</v>
      </c>
      <c r="H32" s="26">
        <v>195</v>
      </c>
      <c r="I32" s="26">
        <v>130.5</v>
      </c>
      <c r="J32" s="26">
        <v>58</v>
      </c>
      <c r="K32" s="26">
        <v>210</v>
      </c>
      <c r="L32" s="26">
        <v>0.80300000000000005</v>
      </c>
      <c r="M32" s="26">
        <v>137</v>
      </c>
      <c r="N32" s="26">
        <v>135.5</v>
      </c>
      <c r="O32" s="26">
        <v>102</v>
      </c>
    </row>
    <row r="33" spans="1:17" x14ac:dyDescent="0.3">
      <c r="A33" s="26" t="s">
        <v>74</v>
      </c>
      <c r="B33" s="26">
        <v>2025</v>
      </c>
      <c r="C33" s="26" t="s">
        <v>1</v>
      </c>
      <c r="D33" s="26">
        <v>73</v>
      </c>
      <c r="E33" s="26">
        <v>25</v>
      </c>
      <c r="F33" s="26">
        <v>1475</v>
      </c>
      <c r="G33" s="26">
        <v>21.5</v>
      </c>
      <c r="H33" s="26">
        <v>421</v>
      </c>
      <c r="I33" s="26">
        <v>44.5</v>
      </c>
      <c r="J33" s="26">
        <v>81</v>
      </c>
      <c r="K33" s="26">
        <v>74</v>
      </c>
      <c r="L33" s="26">
        <v>0.877</v>
      </c>
      <c r="M33" s="26">
        <v>366</v>
      </c>
      <c r="N33" s="26">
        <v>20</v>
      </c>
      <c r="O33" s="26">
        <v>200</v>
      </c>
    </row>
    <row r="34" spans="1:17" x14ac:dyDescent="0.3">
      <c r="D34" s="27">
        <f>AVERAGE(D21:D33)</f>
        <v>66.083333333333329</v>
      </c>
      <c r="E34" s="28">
        <f>AVERAGE(E21:E33)</f>
        <v>91.375</v>
      </c>
      <c r="F34" s="26">
        <f>SUM(F21:F33)</f>
        <v>12886</v>
      </c>
      <c r="G34" s="28">
        <f>AVERAGE(G21:G33)</f>
        <v>95.166666666666671</v>
      </c>
      <c r="H34" s="26">
        <f>SUM(H21:H33)</f>
        <v>3534</v>
      </c>
      <c r="I34" s="28">
        <f>AVERAGE(I21:I33)</f>
        <v>127.875</v>
      </c>
      <c r="J34" s="26">
        <f>SUM(J21:J33)</f>
        <v>732</v>
      </c>
      <c r="L34" s="29">
        <f>SUMPRODUCT(L21:L33,M21:M33)/SUM(M21:M33)</f>
        <v>0.84373262469337695</v>
      </c>
      <c r="N34" s="28">
        <f>AVERAGE(N21:N33)</f>
        <v>87.041666666666671</v>
      </c>
      <c r="O34" s="26">
        <f>SUM(O21:O33)</f>
        <v>1786</v>
      </c>
    </row>
    <row r="38" spans="1:17" ht="21" x14ac:dyDescent="0.3">
      <c r="A38" s="25" t="s">
        <v>23</v>
      </c>
      <c r="B38" s="25" t="s">
        <v>24</v>
      </c>
      <c r="C38" s="25" t="s">
        <v>25</v>
      </c>
      <c r="D38" s="25" t="s">
        <v>26</v>
      </c>
      <c r="E38" s="25" t="s">
        <v>27</v>
      </c>
      <c r="F38" s="25" t="s">
        <v>28</v>
      </c>
      <c r="G38" s="25" t="s">
        <v>54</v>
      </c>
      <c r="H38" s="25" t="s">
        <v>30</v>
      </c>
      <c r="I38" s="25" t="s">
        <v>31</v>
      </c>
      <c r="J38" s="25" t="s">
        <v>32</v>
      </c>
      <c r="K38" s="25" t="s">
        <v>56</v>
      </c>
      <c r="L38" s="25" t="s">
        <v>57</v>
      </c>
      <c r="M38" s="25" t="s">
        <v>33</v>
      </c>
      <c r="N38" s="25" t="s">
        <v>34</v>
      </c>
      <c r="O38" s="25" t="s">
        <v>35</v>
      </c>
      <c r="P38" s="25" t="s">
        <v>36</v>
      </c>
      <c r="Q38" s="25" t="s">
        <v>37</v>
      </c>
    </row>
    <row r="39" spans="1:17" x14ac:dyDescent="0.3">
      <c r="A39" s="26" t="s">
        <v>88</v>
      </c>
      <c r="B39" s="26">
        <v>2025</v>
      </c>
      <c r="C39" s="26" t="s">
        <v>4</v>
      </c>
      <c r="D39" s="26">
        <v>66</v>
      </c>
      <c r="E39" s="26">
        <v>185</v>
      </c>
      <c r="F39" s="26">
        <v>610</v>
      </c>
      <c r="G39" s="26">
        <v>23</v>
      </c>
      <c r="H39" s="26">
        <v>65</v>
      </c>
      <c r="I39" s="26">
        <v>247.5</v>
      </c>
      <c r="J39" s="26">
        <v>36</v>
      </c>
      <c r="K39" s="26">
        <v>20</v>
      </c>
      <c r="L39" s="26">
        <v>85</v>
      </c>
      <c r="M39" s="26">
        <v>387</v>
      </c>
      <c r="N39" s="26">
        <v>0.70899999999999996</v>
      </c>
      <c r="O39" s="26">
        <v>127</v>
      </c>
      <c r="P39" s="26">
        <v>348.5</v>
      </c>
      <c r="Q39" s="26">
        <v>18</v>
      </c>
    </row>
    <row r="40" spans="1:17" x14ac:dyDescent="0.3">
      <c r="A40" s="26" t="s">
        <v>89</v>
      </c>
      <c r="B40" s="26">
        <v>2025</v>
      </c>
      <c r="C40" s="26" t="s">
        <v>4</v>
      </c>
      <c r="D40" s="26">
        <v>80</v>
      </c>
      <c r="E40" s="26">
        <v>80.5</v>
      </c>
      <c r="F40" s="26">
        <v>1041</v>
      </c>
      <c r="G40" s="26">
        <v>65</v>
      </c>
      <c r="H40" s="26">
        <v>143</v>
      </c>
      <c r="I40" s="26">
        <v>164</v>
      </c>
      <c r="J40" s="26">
        <v>50</v>
      </c>
      <c r="K40" s="26">
        <v>2</v>
      </c>
      <c r="L40" s="26">
        <v>148</v>
      </c>
      <c r="M40" s="26">
        <v>150</v>
      </c>
      <c r="N40" s="26">
        <v>0.82599999999999996</v>
      </c>
      <c r="O40" s="26">
        <v>138</v>
      </c>
      <c r="P40" s="26">
        <v>74</v>
      </c>
      <c r="Q40" s="26">
        <v>139</v>
      </c>
    </row>
    <row r="41" spans="1:17" x14ac:dyDescent="0.3">
      <c r="A41" s="26" t="s">
        <v>79</v>
      </c>
      <c r="B41" s="26">
        <v>2025</v>
      </c>
      <c r="C41" s="26" t="s">
        <v>3</v>
      </c>
      <c r="D41" s="26">
        <v>78</v>
      </c>
      <c r="E41" s="26">
        <v>21</v>
      </c>
      <c r="F41" s="26">
        <v>1578</v>
      </c>
      <c r="G41" s="26">
        <v>26.5</v>
      </c>
      <c r="H41" s="26">
        <v>263</v>
      </c>
      <c r="I41" s="26">
        <v>79.5</v>
      </c>
      <c r="J41" s="26">
        <v>70</v>
      </c>
      <c r="K41" s="26">
        <v>76.5</v>
      </c>
      <c r="L41" s="26">
        <v>42</v>
      </c>
      <c r="M41" s="26">
        <v>341</v>
      </c>
      <c r="N41" s="26">
        <v>0.73399999999999999</v>
      </c>
      <c r="O41" s="26">
        <v>308</v>
      </c>
      <c r="P41" s="26">
        <v>91</v>
      </c>
      <c r="Q41" s="26">
        <v>126</v>
      </c>
    </row>
    <row r="42" spans="1:17" x14ac:dyDescent="0.3">
      <c r="A42" s="26" t="s">
        <v>90</v>
      </c>
      <c r="B42" s="26">
        <v>2025</v>
      </c>
      <c r="C42" s="26" t="s">
        <v>3</v>
      </c>
      <c r="D42" s="26">
        <v>46</v>
      </c>
      <c r="E42" s="26">
        <v>58</v>
      </c>
      <c r="F42" s="26">
        <v>1191</v>
      </c>
      <c r="G42" s="26">
        <v>92</v>
      </c>
      <c r="H42" s="26">
        <v>219</v>
      </c>
      <c r="I42" s="26">
        <v>247.5</v>
      </c>
      <c r="J42" s="26">
        <v>36</v>
      </c>
      <c r="K42" s="26">
        <v>146.5</v>
      </c>
      <c r="L42" s="26">
        <v>28</v>
      </c>
      <c r="M42" s="26">
        <v>351.5</v>
      </c>
      <c r="N42" s="26">
        <v>0.72699999999999998</v>
      </c>
      <c r="O42" s="26">
        <v>385</v>
      </c>
      <c r="P42" s="26">
        <v>162.5</v>
      </c>
      <c r="Q42" s="26">
        <v>87</v>
      </c>
    </row>
    <row r="43" spans="1:17" x14ac:dyDescent="0.3">
      <c r="A43" s="26" t="s">
        <v>42</v>
      </c>
      <c r="B43" s="26">
        <v>2025</v>
      </c>
      <c r="C43" s="26" t="s">
        <v>0</v>
      </c>
      <c r="D43" s="26">
        <v>76</v>
      </c>
      <c r="E43" s="26">
        <v>7</v>
      </c>
      <c r="F43" s="26">
        <v>1841</v>
      </c>
      <c r="G43" s="26">
        <v>186.5</v>
      </c>
      <c r="H43" s="26">
        <v>880</v>
      </c>
      <c r="I43" s="26">
        <v>30.5</v>
      </c>
      <c r="J43" s="26">
        <v>91</v>
      </c>
      <c r="K43" s="26">
        <v>302.5</v>
      </c>
      <c r="L43" s="26">
        <v>12</v>
      </c>
      <c r="M43" s="26">
        <v>77</v>
      </c>
      <c r="N43" s="26">
        <v>0.875</v>
      </c>
      <c r="O43" s="26">
        <v>561</v>
      </c>
      <c r="P43" s="26">
        <v>13.5</v>
      </c>
      <c r="Q43" s="26">
        <v>218</v>
      </c>
    </row>
    <row r="44" spans="1:17" x14ac:dyDescent="0.3">
      <c r="A44" s="26" t="s">
        <v>83</v>
      </c>
      <c r="B44" s="26">
        <v>2025</v>
      </c>
      <c r="C44" s="26" t="s">
        <v>0</v>
      </c>
      <c r="D44" s="26">
        <v>80</v>
      </c>
      <c r="E44" s="26">
        <v>65</v>
      </c>
      <c r="F44" s="26">
        <v>1144</v>
      </c>
      <c r="G44" s="26">
        <v>118</v>
      </c>
      <c r="H44" s="26">
        <v>279</v>
      </c>
      <c r="I44" s="26">
        <v>79.5</v>
      </c>
      <c r="J44" s="26">
        <v>70</v>
      </c>
      <c r="K44" s="26">
        <v>272.5</v>
      </c>
      <c r="L44" s="26">
        <v>14</v>
      </c>
      <c r="M44" s="26">
        <v>116</v>
      </c>
      <c r="N44" s="26">
        <v>0.84499999999999997</v>
      </c>
      <c r="O44" s="26">
        <v>84</v>
      </c>
      <c r="P44" s="26">
        <v>5</v>
      </c>
      <c r="Q44" s="26">
        <v>255</v>
      </c>
    </row>
    <row r="45" spans="1:17" x14ac:dyDescent="0.3">
      <c r="A45" s="26" t="s">
        <v>91</v>
      </c>
      <c r="B45" s="26">
        <v>2025</v>
      </c>
      <c r="C45" s="26" t="s">
        <v>0</v>
      </c>
      <c r="D45" s="26">
        <v>33</v>
      </c>
      <c r="E45" s="26">
        <v>208</v>
      </c>
      <c r="F45" s="26">
        <v>564</v>
      </c>
      <c r="G45" s="26">
        <v>328.5</v>
      </c>
      <c r="H45" s="26">
        <v>191</v>
      </c>
      <c r="I45" s="26">
        <v>332.5</v>
      </c>
      <c r="J45" s="26">
        <v>23</v>
      </c>
      <c r="K45" s="26">
        <v>427</v>
      </c>
      <c r="L45" s="26">
        <v>4</v>
      </c>
      <c r="M45" s="26">
        <v>84.5</v>
      </c>
      <c r="N45" s="26">
        <v>0.86699999999999999</v>
      </c>
      <c r="O45" s="26">
        <v>128</v>
      </c>
      <c r="P45" s="26">
        <v>166</v>
      </c>
      <c r="Q45" s="26">
        <v>85</v>
      </c>
    </row>
    <row r="46" spans="1:17" x14ac:dyDescent="0.3">
      <c r="A46" s="26" t="s">
        <v>92</v>
      </c>
      <c r="B46" s="26">
        <v>2025</v>
      </c>
      <c r="C46" s="26" t="s">
        <v>0</v>
      </c>
      <c r="D46" s="26">
        <v>75</v>
      </c>
      <c r="E46" s="26">
        <v>22</v>
      </c>
      <c r="F46" s="26">
        <v>1544</v>
      </c>
      <c r="G46" s="26">
        <v>215</v>
      </c>
      <c r="H46" s="26">
        <v>506</v>
      </c>
      <c r="I46" s="26">
        <v>30.5</v>
      </c>
      <c r="J46" s="26">
        <v>91</v>
      </c>
      <c r="K46" s="26">
        <v>319</v>
      </c>
      <c r="L46" s="26">
        <v>11</v>
      </c>
      <c r="M46" s="26">
        <v>72.5</v>
      </c>
      <c r="N46" s="26">
        <v>0.878</v>
      </c>
      <c r="O46" s="26">
        <v>255</v>
      </c>
      <c r="P46" s="26">
        <v>18</v>
      </c>
      <c r="Q46" s="26">
        <v>212</v>
      </c>
    </row>
    <row r="47" spans="1:17" x14ac:dyDescent="0.3">
      <c r="A47" s="26" t="s">
        <v>44</v>
      </c>
      <c r="B47" s="26">
        <v>2025</v>
      </c>
      <c r="C47" s="26" t="s">
        <v>2</v>
      </c>
      <c r="D47" s="26">
        <v>80</v>
      </c>
      <c r="E47" s="26">
        <v>158</v>
      </c>
      <c r="F47" s="26">
        <v>688</v>
      </c>
      <c r="G47" s="26">
        <v>140</v>
      </c>
      <c r="H47" s="26">
        <v>79</v>
      </c>
      <c r="I47" s="26">
        <v>289.5</v>
      </c>
      <c r="J47" s="26">
        <v>29</v>
      </c>
      <c r="K47" s="26">
        <v>26</v>
      </c>
      <c r="L47" s="26">
        <v>75</v>
      </c>
      <c r="M47" s="26">
        <v>180.5</v>
      </c>
      <c r="N47" s="26">
        <v>0.81499999999999995</v>
      </c>
      <c r="O47" s="26">
        <v>108</v>
      </c>
      <c r="P47" s="26">
        <v>145.5</v>
      </c>
      <c r="Q47" s="26">
        <v>96</v>
      </c>
    </row>
    <row r="48" spans="1:17" x14ac:dyDescent="0.3">
      <c r="A48" s="26" t="s">
        <v>93</v>
      </c>
      <c r="B48" s="26">
        <v>2025</v>
      </c>
      <c r="C48" s="26" t="s">
        <v>2</v>
      </c>
      <c r="D48" s="26">
        <v>74</v>
      </c>
      <c r="E48" s="26">
        <v>120</v>
      </c>
      <c r="F48" s="26">
        <v>817</v>
      </c>
      <c r="G48" s="26">
        <v>270.5</v>
      </c>
      <c r="H48" s="26">
        <v>176</v>
      </c>
      <c r="I48" s="26">
        <v>216</v>
      </c>
      <c r="J48" s="26">
        <v>40</v>
      </c>
      <c r="K48" s="26">
        <v>389</v>
      </c>
      <c r="L48" s="26">
        <v>6</v>
      </c>
      <c r="M48" s="26">
        <v>56.5</v>
      </c>
      <c r="N48" s="26">
        <v>0.88700000000000001</v>
      </c>
      <c r="O48" s="26">
        <v>53</v>
      </c>
      <c r="P48" s="26">
        <v>24</v>
      </c>
      <c r="Q48" s="26">
        <v>190</v>
      </c>
    </row>
    <row r="49" spans="1:17" x14ac:dyDescent="0.3">
      <c r="A49" s="26" t="s">
        <v>47</v>
      </c>
      <c r="B49" s="26">
        <v>2025</v>
      </c>
      <c r="C49" s="26" t="s">
        <v>2</v>
      </c>
      <c r="D49" s="26">
        <v>72</v>
      </c>
      <c r="E49" s="26">
        <v>56</v>
      </c>
      <c r="F49" s="26">
        <v>1219</v>
      </c>
      <c r="G49" s="26">
        <v>29</v>
      </c>
      <c r="H49" s="26">
        <v>281</v>
      </c>
      <c r="I49" s="26">
        <v>74.5</v>
      </c>
      <c r="J49" s="26">
        <v>71</v>
      </c>
      <c r="K49" s="26">
        <v>108</v>
      </c>
      <c r="L49" s="26">
        <v>35</v>
      </c>
      <c r="M49" s="26">
        <v>250.5</v>
      </c>
      <c r="N49" s="26">
        <v>0.78</v>
      </c>
      <c r="O49" s="26">
        <v>372</v>
      </c>
      <c r="P49" s="26">
        <v>93</v>
      </c>
      <c r="Q49" s="26">
        <v>125</v>
      </c>
    </row>
    <row r="50" spans="1:17" x14ac:dyDescent="0.3">
      <c r="A50" s="26" t="s">
        <v>94</v>
      </c>
      <c r="B50" s="26">
        <v>2025</v>
      </c>
      <c r="C50" s="26" t="s">
        <v>2</v>
      </c>
      <c r="D50" s="26">
        <v>45</v>
      </c>
      <c r="E50" s="26">
        <v>215</v>
      </c>
      <c r="F50" s="26">
        <v>541</v>
      </c>
      <c r="G50" s="26">
        <v>256</v>
      </c>
      <c r="H50" s="26">
        <v>54</v>
      </c>
      <c r="I50" s="26">
        <v>255</v>
      </c>
      <c r="J50" s="26">
        <v>35</v>
      </c>
      <c r="K50" s="26">
        <v>233</v>
      </c>
      <c r="L50" s="26">
        <v>17</v>
      </c>
      <c r="M50" s="26">
        <v>33</v>
      </c>
      <c r="N50" s="26">
        <v>0.91300000000000003</v>
      </c>
      <c r="O50" s="26">
        <v>80</v>
      </c>
      <c r="P50" s="26">
        <v>170</v>
      </c>
      <c r="Q50" s="26">
        <v>84</v>
      </c>
    </row>
    <row r="51" spans="1:17" x14ac:dyDescent="0.3">
      <c r="D51" s="27">
        <f>AVERAGE(D38:D50)</f>
        <v>67.083333333333329</v>
      </c>
      <c r="E51" s="28">
        <f>AVERAGE(E38:E50)</f>
        <v>99.625</v>
      </c>
      <c r="F51" s="26">
        <f>SUM(F38:F50)</f>
        <v>12778</v>
      </c>
      <c r="G51" s="28">
        <f>AVERAGE(G38:G50)</f>
        <v>145.83333333333334</v>
      </c>
      <c r="H51" s="26">
        <f>SUM(H38:H50)</f>
        <v>3136</v>
      </c>
      <c r="I51" s="28">
        <f>AVERAGE(I38:I50)</f>
        <v>170.54166666666666</v>
      </c>
      <c r="J51" s="26">
        <f>SUM(J38:J50)</f>
        <v>642</v>
      </c>
      <c r="K51" s="28">
        <f>AVERAGE(K38:K50)</f>
        <v>193.5</v>
      </c>
      <c r="L51" s="26">
        <f>SUM(L38:L50)</f>
        <v>477</v>
      </c>
      <c r="N51" s="29">
        <f>SUMPRODUCT(N38:N50,O38:O50)/SUM(O38:O50)</f>
        <v>0.80990765679107357</v>
      </c>
      <c r="P51" s="28">
        <f>AVERAGE(P38:P50)</f>
        <v>109.25</v>
      </c>
      <c r="Q51" s="26">
        <f>SUM(Q38:Q50)</f>
        <v>1635</v>
      </c>
    </row>
  </sheetData>
  <conditionalFormatting sqref="G23 E23 I23 K23 N23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 G3 I3 K3 N3 N5:N15 K5:K15 I5:I15 E5:E15 G5:G15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15 E3:E15 I3:I15 K3:K15 N3:N15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 G4 I4 K4 N4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2 E22 I22 K22 N22 N24:N33 K24:K33 I24:I33 E24:E33 G24:G33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2:G33 E22:E33 I22:I33 K22:K33 N22:N33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:I15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:I33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K15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2:K33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:N15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2:N33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0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1:E50 E39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9:E50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1:G50 G39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9:G50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9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0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1:I50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9:I50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0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1:K50 K39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9:K5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1:N50 N39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9:N50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1:P50 P39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9:P5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C0A8C-AB41-48A3-8042-407D83F222C0}">
  <dimension ref="A3:T53"/>
  <sheetViews>
    <sheetView workbookViewId="0">
      <selection activeCell="L66" sqref="L66"/>
    </sheetView>
  </sheetViews>
  <sheetFormatPr defaultRowHeight="14" x14ac:dyDescent="0.3"/>
  <sheetData>
    <row r="3" spans="1:20" ht="21" x14ac:dyDescent="0.3">
      <c r="A3" s="25" t="s">
        <v>23</v>
      </c>
      <c r="B3" s="25" t="s">
        <v>24</v>
      </c>
      <c r="C3" s="25" t="s">
        <v>25</v>
      </c>
      <c r="D3" s="30" t="s">
        <v>26</v>
      </c>
      <c r="E3" s="25" t="s">
        <v>27</v>
      </c>
      <c r="F3" s="30" t="s">
        <v>28</v>
      </c>
      <c r="G3" s="25" t="s">
        <v>54</v>
      </c>
      <c r="H3" s="25" t="s">
        <v>55</v>
      </c>
      <c r="I3" s="25" t="s">
        <v>29</v>
      </c>
      <c r="J3" s="25" t="s">
        <v>30</v>
      </c>
      <c r="K3" s="25" t="s">
        <v>31</v>
      </c>
      <c r="L3" s="30" t="s">
        <v>32</v>
      </c>
      <c r="M3" s="25" t="s">
        <v>56</v>
      </c>
      <c r="N3" s="25" t="s">
        <v>57</v>
      </c>
      <c r="O3" s="25" t="s">
        <v>34</v>
      </c>
      <c r="P3" s="30" t="s">
        <v>35</v>
      </c>
      <c r="Q3" s="25" t="s">
        <v>58</v>
      </c>
      <c r="R3" s="30" t="s">
        <v>59</v>
      </c>
      <c r="S3" s="25" t="s">
        <v>36</v>
      </c>
      <c r="T3" s="30" t="s">
        <v>37</v>
      </c>
    </row>
    <row r="4" spans="1:20" ht="21" x14ac:dyDescent="0.3">
      <c r="A4" s="26" t="s">
        <v>50</v>
      </c>
      <c r="B4" s="26">
        <v>2025</v>
      </c>
      <c r="C4" s="26" t="s">
        <v>4</v>
      </c>
      <c r="D4" s="26">
        <v>74</v>
      </c>
      <c r="E4" s="26">
        <v>88</v>
      </c>
      <c r="F4" s="26">
        <v>988</v>
      </c>
      <c r="G4" s="26">
        <v>14</v>
      </c>
      <c r="H4" s="26">
        <v>660</v>
      </c>
      <c r="I4" s="26">
        <v>122.5</v>
      </c>
      <c r="J4" s="26">
        <v>168</v>
      </c>
      <c r="K4" s="26">
        <v>85.5</v>
      </c>
      <c r="L4" s="26">
        <v>69</v>
      </c>
      <c r="M4" s="26">
        <v>37</v>
      </c>
      <c r="N4" s="26">
        <v>68</v>
      </c>
      <c r="O4" s="26">
        <v>0.75900000000000001</v>
      </c>
      <c r="P4" s="26">
        <v>216</v>
      </c>
      <c r="Q4" s="26">
        <v>57.5</v>
      </c>
      <c r="R4" s="26">
        <v>0.56699999999999995</v>
      </c>
      <c r="S4" s="26">
        <v>248</v>
      </c>
      <c r="T4" s="26">
        <v>48</v>
      </c>
    </row>
    <row r="5" spans="1:20" ht="21" x14ac:dyDescent="0.3">
      <c r="A5" s="26" t="s">
        <v>60</v>
      </c>
      <c r="B5" s="26">
        <v>2025</v>
      </c>
      <c r="C5" s="26" t="s">
        <v>4</v>
      </c>
      <c r="D5" s="26">
        <v>72</v>
      </c>
      <c r="E5" s="26">
        <v>11</v>
      </c>
      <c r="F5" s="26">
        <v>1759</v>
      </c>
      <c r="G5" s="26">
        <v>3</v>
      </c>
      <c r="H5" s="26">
        <v>920</v>
      </c>
      <c r="I5" s="26">
        <v>88</v>
      </c>
      <c r="J5" s="26">
        <v>222</v>
      </c>
      <c r="K5" s="26">
        <v>74.5</v>
      </c>
      <c r="L5" s="26">
        <v>71</v>
      </c>
      <c r="M5" s="26">
        <v>61</v>
      </c>
      <c r="N5" s="26">
        <v>50</v>
      </c>
      <c r="O5" s="26">
        <v>0.82899999999999996</v>
      </c>
      <c r="P5" s="26">
        <v>409</v>
      </c>
      <c r="Q5" s="26">
        <v>86.5</v>
      </c>
      <c r="R5" s="26">
        <v>0.52600000000000002</v>
      </c>
      <c r="S5" s="26">
        <v>68.5</v>
      </c>
      <c r="T5" s="26">
        <v>142</v>
      </c>
    </row>
    <row r="6" spans="1:20" x14ac:dyDescent="0.3">
      <c r="A6" s="26" t="s">
        <v>61</v>
      </c>
      <c r="B6" s="26">
        <v>2025</v>
      </c>
      <c r="C6" s="26" t="s">
        <v>4</v>
      </c>
      <c r="D6" s="26">
        <v>80</v>
      </c>
      <c r="E6" s="26">
        <v>41</v>
      </c>
      <c r="F6" s="26">
        <v>1340</v>
      </c>
      <c r="G6" s="26">
        <v>1</v>
      </c>
      <c r="H6" s="26">
        <v>1010</v>
      </c>
      <c r="I6" s="26">
        <v>95</v>
      </c>
      <c r="J6" s="26">
        <v>214</v>
      </c>
      <c r="K6" s="26">
        <v>141.5</v>
      </c>
      <c r="L6" s="26">
        <v>55</v>
      </c>
      <c r="M6" s="26">
        <v>17</v>
      </c>
      <c r="N6" s="26">
        <v>90</v>
      </c>
      <c r="O6" s="26">
        <v>0.66100000000000003</v>
      </c>
      <c r="P6" s="26">
        <v>236</v>
      </c>
      <c r="Q6" s="26">
        <v>30</v>
      </c>
      <c r="R6" s="26">
        <v>0.628</v>
      </c>
      <c r="S6" s="26">
        <v>534</v>
      </c>
      <c r="T6" s="26">
        <v>0</v>
      </c>
    </row>
    <row r="7" spans="1:20" x14ac:dyDescent="0.3">
      <c r="A7" s="26" t="s">
        <v>62</v>
      </c>
      <c r="B7" s="26">
        <v>2025</v>
      </c>
      <c r="C7" s="26" t="s">
        <v>3</v>
      </c>
      <c r="D7" s="26">
        <v>79</v>
      </c>
      <c r="E7" s="26">
        <v>114</v>
      </c>
      <c r="F7" s="26">
        <v>833</v>
      </c>
      <c r="G7" s="26">
        <v>106.5</v>
      </c>
      <c r="H7" s="26">
        <v>318</v>
      </c>
      <c r="I7" s="26">
        <v>179.5</v>
      </c>
      <c r="J7" s="26">
        <v>128</v>
      </c>
      <c r="K7" s="26">
        <v>188.5</v>
      </c>
      <c r="L7" s="26">
        <v>46</v>
      </c>
      <c r="M7" s="26">
        <v>146.5</v>
      </c>
      <c r="N7" s="26">
        <v>28</v>
      </c>
      <c r="O7" s="26">
        <v>0.78100000000000003</v>
      </c>
      <c r="P7" s="26">
        <v>114</v>
      </c>
      <c r="Q7" s="26">
        <v>83</v>
      </c>
      <c r="R7" s="26">
        <v>0.52900000000000003</v>
      </c>
      <c r="S7" s="26">
        <v>115</v>
      </c>
      <c r="T7" s="26">
        <v>110</v>
      </c>
    </row>
    <row r="8" spans="1:20" x14ac:dyDescent="0.3">
      <c r="A8" s="26" t="s">
        <v>63</v>
      </c>
      <c r="B8" s="26">
        <v>2025</v>
      </c>
      <c r="C8" s="26" t="s">
        <v>3</v>
      </c>
      <c r="D8" s="26">
        <v>76</v>
      </c>
      <c r="E8" s="26">
        <v>94.5</v>
      </c>
      <c r="F8" s="26">
        <v>942</v>
      </c>
      <c r="G8" s="26">
        <v>31</v>
      </c>
      <c r="H8" s="26">
        <v>507</v>
      </c>
      <c r="I8" s="26">
        <v>213</v>
      </c>
      <c r="J8" s="26">
        <v>109</v>
      </c>
      <c r="K8" s="26">
        <v>114.5</v>
      </c>
      <c r="L8" s="26">
        <v>61</v>
      </c>
      <c r="M8" s="26">
        <v>35.5</v>
      </c>
      <c r="N8" s="26">
        <v>69</v>
      </c>
      <c r="O8" s="26">
        <v>0.83299999999999996</v>
      </c>
      <c r="P8" s="26">
        <v>72</v>
      </c>
      <c r="Q8" s="26">
        <v>295.5</v>
      </c>
      <c r="R8" s="26">
        <v>0.44400000000000001</v>
      </c>
      <c r="S8" s="26">
        <v>59</v>
      </c>
      <c r="T8" s="26">
        <v>154</v>
      </c>
    </row>
    <row r="9" spans="1:20" ht="21" x14ac:dyDescent="0.3">
      <c r="A9" s="26" t="s">
        <v>64</v>
      </c>
      <c r="B9" s="26">
        <v>2025</v>
      </c>
      <c r="C9" s="26" t="s">
        <v>3</v>
      </c>
      <c r="D9" s="26">
        <v>57</v>
      </c>
      <c r="E9" s="26">
        <v>77</v>
      </c>
      <c r="F9" s="26">
        <v>1070</v>
      </c>
      <c r="G9" s="26">
        <v>174</v>
      </c>
      <c r="H9" s="26">
        <v>247</v>
      </c>
      <c r="I9" s="26">
        <v>105</v>
      </c>
      <c r="J9" s="26">
        <v>194</v>
      </c>
      <c r="K9" s="26">
        <v>150</v>
      </c>
      <c r="L9" s="26">
        <v>53</v>
      </c>
      <c r="M9" s="26">
        <v>165.5</v>
      </c>
      <c r="N9" s="26">
        <v>25</v>
      </c>
      <c r="O9" s="26">
        <v>0.89300000000000002</v>
      </c>
      <c r="P9" s="26">
        <v>225</v>
      </c>
      <c r="Q9" s="26">
        <v>194.5</v>
      </c>
      <c r="R9" s="26">
        <v>0.47499999999999998</v>
      </c>
      <c r="S9" s="26">
        <v>49.5</v>
      </c>
      <c r="T9" s="26">
        <v>159</v>
      </c>
    </row>
    <row r="10" spans="1:20" ht="21" x14ac:dyDescent="0.3">
      <c r="A10" s="26" t="s">
        <v>65</v>
      </c>
      <c r="B10" s="26">
        <v>2025</v>
      </c>
      <c r="C10" s="26" t="s">
        <v>2</v>
      </c>
      <c r="D10" s="26">
        <v>75</v>
      </c>
      <c r="E10" s="26">
        <v>94.5</v>
      </c>
      <c r="F10" s="26">
        <v>942</v>
      </c>
      <c r="G10" s="26">
        <v>151</v>
      </c>
      <c r="H10" s="26">
        <v>268</v>
      </c>
      <c r="I10" s="26">
        <v>246</v>
      </c>
      <c r="J10" s="26">
        <v>92</v>
      </c>
      <c r="K10" s="26">
        <v>155</v>
      </c>
      <c r="L10" s="26">
        <v>52</v>
      </c>
      <c r="M10" s="26">
        <v>101</v>
      </c>
      <c r="N10" s="26">
        <v>37</v>
      </c>
      <c r="O10" s="26">
        <v>0.71099999999999997</v>
      </c>
      <c r="P10" s="26">
        <v>149</v>
      </c>
      <c r="Q10" s="26">
        <v>249.5</v>
      </c>
      <c r="R10" s="26">
        <v>0.45800000000000002</v>
      </c>
      <c r="S10" s="26">
        <v>95.5</v>
      </c>
      <c r="T10" s="26">
        <v>122</v>
      </c>
    </row>
    <row r="11" spans="1:20" x14ac:dyDescent="0.3">
      <c r="A11" s="26" t="s">
        <v>66</v>
      </c>
      <c r="B11" s="26">
        <v>2025</v>
      </c>
      <c r="C11" s="26" t="s">
        <v>2</v>
      </c>
      <c r="D11" s="26">
        <v>71</v>
      </c>
      <c r="E11" s="26">
        <v>150.5</v>
      </c>
      <c r="F11" s="26">
        <v>719</v>
      </c>
      <c r="G11" s="26">
        <v>130</v>
      </c>
      <c r="H11" s="26">
        <v>293</v>
      </c>
      <c r="I11" s="26">
        <v>199.5</v>
      </c>
      <c r="J11" s="26">
        <v>115</v>
      </c>
      <c r="K11" s="26">
        <v>49.5</v>
      </c>
      <c r="L11" s="26">
        <v>79</v>
      </c>
      <c r="M11" s="26">
        <v>90.5</v>
      </c>
      <c r="N11" s="26">
        <v>39</v>
      </c>
      <c r="O11" s="26">
        <v>0.71699999999999997</v>
      </c>
      <c r="P11" s="26">
        <v>46</v>
      </c>
      <c r="Q11" s="26">
        <v>331</v>
      </c>
      <c r="R11" s="26">
        <v>0.435</v>
      </c>
      <c r="S11" s="26">
        <v>38</v>
      </c>
      <c r="T11" s="26">
        <v>170</v>
      </c>
    </row>
    <row r="12" spans="1:20" x14ac:dyDescent="0.3">
      <c r="A12" s="26" t="s">
        <v>47</v>
      </c>
      <c r="B12" s="26">
        <v>2025</v>
      </c>
      <c r="C12" s="26" t="s">
        <v>2</v>
      </c>
      <c r="D12" s="26">
        <v>72</v>
      </c>
      <c r="E12" s="26">
        <v>56</v>
      </c>
      <c r="F12" s="26">
        <v>1219</v>
      </c>
      <c r="G12" s="26">
        <v>29</v>
      </c>
      <c r="H12" s="26">
        <v>522</v>
      </c>
      <c r="I12" s="26">
        <v>68</v>
      </c>
      <c r="J12" s="26">
        <v>281</v>
      </c>
      <c r="K12" s="26">
        <v>74.5</v>
      </c>
      <c r="L12" s="26">
        <v>71</v>
      </c>
      <c r="M12" s="26">
        <v>108</v>
      </c>
      <c r="N12" s="26">
        <v>35</v>
      </c>
      <c r="O12" s="26">
        <v>0.78</v>
      </c>
      <c r="P12" s="26">
        <v>372</v>
      </c>
      <c r="Q12" s="26">
        <v>191</v>
      </c>
      <c r="R12" s="26">
        <v>0.47599999999999998</v>
      </c>
      <c r="S12" s="26">
        <v>93</v>
      </c>
      <c r="T12" s="26">
        <v>125</v>
      </c>
    </row>
    <row r="13" spans="1:20" x14ac:dyDescent="0.3">
      <c r="A13" s="26" t="s">
        <v>67</v>
      </c>
      <c r="B13" s="26">
        <v>2025</v>
      </c>
      <c r="C13" s="26" t="s">
        <v>1</v>
      </c>
      <c r="D13" s="26">
        <v>82</v>
      </c>
      <c r="E13" s="26">
        <v>13</v>
      </c>
      <c r="F13" s="26">
        <v>1723</v>
      </c>
      <c r="G13" s="26">
        <v>75</v>
      </c>
      <c r="H13" s="26">
        <v>377</v>
      </c>
      <c r="I13" s="26">
        <v>67</v>
      </c>
      <c r="J13" s="26">
        <v>282</v>
      </c>
      <c r="K13" s="26">
        <v>74.5</v>
      </c>
      <c r="L13" s="26">
        <v>71</v>
      </c>
      <c r="M13" s="26">
        <v>153.5</v>
      </c>
      <c r="N13" s="26">
        <v>27</v>
      </c>
      <c r="O13" s="26">
        <v>0.81299999999999994</v>
      </c>
      <c r="P13" s="26">
        <v>336</v>
      </c>
      <c r="Q13" s="26">
        <v>379</v>
      </c>
      <c r="R13" s="26">
        <v>0.42299999999999999</v>
      </c>
      <c r="S13" s="26">
        <v>11</v>
      </c>
      <c r="T13" s="26">
        <v>234</v>
      </c>
    </row>
    <row r="14" spans="1:20" ht="21" x14ac:dyDescent="0.3">
      <c r="A14" s="26" t="s">
        <v>68</v>
      </c>
      <c r="B14" s="26">
        <v>2025</v>
      </c>
      <c r="C14" s="26" t="s">
        <v>1</v>
      </c>
      <c r="D14" s="26">
        <v>64</v>
      </c>
      <c r="E14" s="26">
        <v>140</v>
      </c>
      <c r="F14" s="26">
        <v>747</v>
      </c>
      <c r="G14" s="26">
        <v>102</v>
      </c>
      <c r="H14" s="26">
        <v>325</v>
      </c>
      <c r="I14" s="26">
        <v>89.5</v>
      </c>
      <c r="J14" s="26">
        <v>220</v>
      </c>
      <c r="K14" s="26">
        <v>85.5</v>
      </c>
      <c r="L14" s="26">
        <v>69</v>
      </c>
      <c r="M14" s="26">
        <v>287.5</v>
      </c>
      <c r="N14" s="26">
        <v>13</v>
      </c>
      <c r="O14" s="26">
        <v>0.75800000000000001</v>
      </c>
      <c r="P14" s="26">
        <v>95</v>
      </c>
      <c r="Q14" s="26">
        <v>292</v>
      </c>
      <c r="R14" s="26">
        <v>0.44500000000000001</v>
      </c>
      <c r="S14" s="26">
        <v>103</v>
      </c>
      <c r="T14" s="26">
        <v>115</v>
      </c>
    </row>
    <row r="15" spans="1:20" ht="21" x14ac:dyDescent="0.3">
      <c r="A15" s="26" t="s">
        <v>69</v>
      </c>
      <c r="B15" s="26">
        <v>2025</v>
      </c>
      <c r="C15" s="26" t="s">
        <v>1</v>
      </c>
      <c r="D15" s="26">
        <v>65</v>
      </c>
      <c r="E15" s="26">
        <v>175</v>
      </c>
      <c r="F15" s="26">
        <v>653</v>
      </c>
      <c r="G15" s="26">
        <v>211</v>
      </c>
      <c r="H15" s="26">
        <v>216</v>
      </c>
      <c r="I15" s="26">
        <v>53</v>
      </c>
      <c r="J15" s="26">
        <v>326</v>
      </c>
      <c r="K15" s="26">
        <v>49.5</v>
      </c>
      <c r="L15" s="26">
        <v>79</v>
      </c>
      <c r="M15" s="26">
        <v>319</v>
      </c>
      <c r="N15" s="26">
        <v>11</v>
      </c>
      <c r="O15" s="26">
        <v>0.79400000000000004</v>
      </c>
      <c r="P15" s="26">
        <v>136</v>
      </c>
      <c r="Q15" s="26">
        <v>249.5</v>
      </c>
      <c r="R15" s="26">
        <v>0.45800000000000002</v>
      </c>
      <c r="S15" s="26">
        <v>240</v>
      </c>
      <c r="T15" s="26">
        <v>51</v>
      </c>
    </row>
    <row r="16" spans="1:20" x14ac:dyDescent="0.3">
      <c r="D16" s="27">
        <f>AVERAGE(D3:D15)</f>
        <v>72.25</v>
      </c>
      <c r="E16" s="28">
        <f>AVERAGE(E3:E15)</f>
        <v>87.875</v>
      </c>
      <c r="F16" s="26">
        <f>SUM(F3:F15)</f>
        <v>12935</v>
      </c>
      <c r="G16" s="28">
        <f>AVERAGE(G3:G15)</f>
        <v>85.625</v>
      </c>
      <c r="H16" s="26">
        <f>SUM(H3:H15)</f>
        <v>5663</v>
      </c>
      <c r="I16" s="28">
        <f>AVERAGE(I3:I15)</f>
        <v>127.16666666666667</v>
      </c>
      <c r="J16" s="26">
        <f>SUM(J3:J15)</f>
        <v>2351</v>
      </c>
      <c r="K16" s="28">
        <f>AVERAGE(K3:K15)</f>
        <v>103.58333333333333</v>
      </c>
      <c r="L16" s="26">
        <f>SUM(L3:L15)</f>
        <v>776</v>
      </c>
      <c r="M16" s="28">
        <f>AVERAGE(M3:M15)</f>
        <v>126.83333333333333</v>
      </c>
      <c r="N16" s="26">
        <f>SUM(N3:N15)</f>
        <v>492</v>
      </c>
      <c r="P16" s="29">
        <f>SUMPRODUCT(O4:O15,P4:P15)/SUM(P4:P15)</f>
        <v>0.78602618453865336</v>
      </c>
      <c r="Q16" s="28">
        <f>AVERAGE(Q3:Q15)</f>
        <v>203.25</v>
      </c>
      <c r="R16" s="29">
        <f>SUMPRODUCT(R4:R15,F4:F15)/SUM(F16)</f>
        <v>0.49314789331271741</v>
      </c>
      <c r="S16" s="28">
        <f>AVERAGE(S3:S15)</f>
        <v>137.875</v>
      </c>
      <c r="T16" s="26">
        <f>SUM(T3:T15)</f>
        <v>1430</v>
      </c>
    </row>
    <row r="20" spans="1:20" ht="21" x14ac:dyDescent="0.3">
      <c r="A20" s="25" t="s">
        <v>23</v>
      </c>
      <c r="B20" s="25" t="s">
        <v>24</v>
      </c>
      <c r="C20" s="25" t="s">
        <v>25</v>
      </c>
      <c r="D20" s="25" t="s">
        <v>26</v>
      </c>
      <c r="E20" s="25" t="s">
        <v>27</v>
      </c>
      <c r="F20" s="25" t="s">
        <v>28</v>
      </c>
      <c r="G20" s="25" t="s">
        <v>54</v>
      </c>
      <c r="H20" s="30" t="s">
        <v>55</v>
      </c>
      <c r="I20" s="25" t="s">
        <v>29</v>
      </c>
      <c r="J20" s="30" t="s">
        <v>30</v>
      </c>
      <c r="K20" s="25" t="s">
        <v>31</v>
      </c>
      <c r="L20" s="25" t="s">
        <v>32</v>
      </c>
      <c r="M20" s="25" t="s">
        <v>56</v>
      </c>
      <c r="N20" s="30" t="s">
        <v>57</v>
      </c>
      <c r="O20" s="25" t="s">
        <v>34</v>
      </c>
      <c r="P20" s="25" t="s">
        <v>35</v>
      </c>
      <c r="Q20" s="25" t="s">
        <v>58</v>
      </c>
      <c r="R20" s="25" t="s">
        <v>59</v>
      </c>
      <c r="S20" s="25" t="s">
        <v>36</v>
      </c>
      <c r="T20" s="25" t="s">
        <v>37</v>
      </c>
    </row>
    <row r="21" spans="1:20" x14ac:dyDescent="0.3">
      <c r="A21" s="26" t="s">
        <v>75</v>
      </c>
      <c r="B21" s="26">
        <v>2025</v>
      </c>
      <c r="C21" s="26" t="s">
        <v>4</v>
      </c>
      <c r="D21" s="26">
        <v>58</v>
      </c>
      <c r="E21" s="26">
        <v>176</v>
      </c>
      <c r="F21" s="26">
        <v>641</v>
      </c>
      <c r="G21" s="26">
        <v>13</v>
      </c>
      <c r="H21" s="26">
        <v>707</v>
      </c>
      <c r="I21" s="26">
        <v>236.5</v>
      </c>
      <c r="J21" s="26">
        <v>97</v>
      </c>
      <c r="K21" s="26">
        <v>247.5</v>
      </c>
      <c r="L21" s="26">
        <v>36</v>
      </c>
      <c r="M21" s="26">
        <v>4</v>
      </c>
      <c r="N21" s="26">
        <v>138</v>
      </c>
      <c r="O21" s="26">
        <v>0.52</v>
      </c>
      <c r="P21" s="26">
        <v>152</v>
      </c>
      <c r="Q21" s="26">
        <v>19</v>
      </c>
      <c r="R21" s="26">
        <v>0.66300000000000003</v>
      </c>
      <c r="S21" s="26">
        <v>428</v>
      </c>
      <c r="T21" s="26">
        <v>6</v>
      </c>
    </row>
    <row r="22" spans="1:20" x14ac:dyDescent="0.3">
      <c r="A22" s="26" t="s">
        <v>76</v>
      </c>
      <c r="B22" s="26">
        <v>2025</v>
      </c>
      <c r="C22" s="26" t="s">
        <v>4</v>
      </c>
      <c r="D22" s="26">
        <v>64</v>
      </c>
      <c r="E22" s="26">
        <v>190</v>
      </c>
      <c r="F22" s="26">
        <v>595</v>
      </c>
      <c r="G22" s="26">
        <v>38</v>
      </c>
      <c r="H22" s="26">
        <v>473</v>
      </c>
      <c r="I22" s="26">
        <v>317.5</v>
      </c>
      <c r="J22" s="26">
        <v>60</v>
      </c>
      <c r="K22" s="26">
        <v>223.5</v>
      </c>
      <c r="L22" s="26">
        <v>39</v>
      </c>
      <c r="M22" s="26">
        <v>31.5</v>
      </c>
      <c r="N22" s="26">
        <v>71</v>
      </c>
      <c r="O22" s="26">
        <v>0.68700000000000006</v>
      </c>
      <c r="P22" s="26">
        <v>67</v>
      </c>
      <c r="Q22" s="26">
        <v>66.5</v>
      </c>
      <c r="R22" s="26">
        <v>0.55400000000000005</v>
      </c>
      <c r="S22" s="26">
        <v>275.5</v>
      </c>
      <c r="T22" s="26">
        <v>35</v>
      </c>
    </row>
    <row r="23" spans="1:20" ht="21" x14ac:dyDescent="0.3">
      <c r="A23" s="26" t="s">
        <v>38</v>
      </c>
      <c r="B23" s="26">
        <v>2025</v>
      </c>
      <c r="C23" s="26" t="s">
        <v>4</v>
      </c>
      <c r="D23" s="26">
        <v>81</v>
      </c>
      <c r="E23" s="26">
        <v>110</v>
      </c>
      <c r="F23" s="26">
        <v>843</v>
      </c>
      <c r="G23" s="26">
        <v>16</v>
      </c>
      <c r="H23" s="26">
        <v>627</v>
      </c>
      <c r="I23" s="26">
        <v>129</v>
      </c>
      <c r="J23" s="26">
        <v>164</v>
      </c>
      <c r="K23" s="26">
        <v>239</v>
      </c>
      <c r="L23" s="26">
        <v>37</v>
      </c>
      <c r="M23" s="26">
        <v>68</v>
      </c>
      <c r="N23" s="26">
        <v>46</v>
      </c>
      <c r="O23" s="26">
        <v>0.879</v>
      </c>
      <c r="P23" s="26">
        <v>165</v>
      </c>
      <c r="Q23" s="26">
        <v>69</v>
      </c>
      <c r="R23" s="26">
        <v>0.55000000000000004</v>
      </c>
      <c r="S23" s="26">
        <v>411.5</v>
      </c>
      <c r="T23" s="26">
        <v>8</v>
      </c>
    </row>
    <row r="24" spans="1:20" ht="21" x14ac:dyDescent="0.3">
      <c r="A24" s="26" t="s">
        <v>77</v>
      </c>
      <c r="B24" s="26">
        <v>2025</v>
      </c>
      <c r="C24" s="26" t="s">
        <v>4</v>
      </c>
      <c r="D24" s="26">
        <v>70</v>
      </c>
      <c r="E24" s="26">
        <v>42</v>
      </c>
      <c r="F24" s="26">
        <v>1337</v>
      </c>
      <c r="G24" s="26">
        <v>2</v>
      </c>
      <c r="H24" s="26">
        <v>972</v>
      </c>
      <c r="I24" s="26">
        <v>20</v>
      </c>
      <c r="J24" s="26">
        <v>423</v>
      </c>
      <c r="K24" s="26">
        <v>174</v>
      </c>
      <c r="L24" s="26">
        <v>48</v>
      </c>
      <c r="M24" s="26">
        <v>159.5</v>
      </c>
      <c r="N24" s="26">
        <v>26</v>
      </c>
      <c r="O24" s="26">
        <v>0.754</v>
      </c>
      <c r="P24" s="26">
        <v>289</v>
      </c>
      <c r="Q24" s="26">
        <v>45</v>
      </c>
      <c r="R24" s="26">
        <v>0.59</v>
      </c>
      <c r="S24" s="26">
        <v>210.5</v>
      </c>
      <c r="T24" s="26">
        <v>65</v>
      </c>
    </row>
    <row r="25" spans="1:20" x14ac:dyDescent="0.3">
      <c r="A25" s="26" t="s">
        <v>78</v>
      </c>
      <c r="B25" s="26">
        <v>2025</v>
      </c>
      <c r="C25" s="26" t="s">
        <v>4</v>
      </c>
      <c r="D25" s="26">
        <v>67</v>
      </c>
      <c r="E25" s="26">
        <v>106</v>
      </c>
      <c r="F25" s="26">
        <v>869</v>
      </c>
      <c r="G25" s="26">
        <v>54</v>
      </c>
      <c r="H25" s="26">
        <v>435</v>
      </c>
      <c r="I25" s="26">
        <v>134</v>
      </c>
      <c r="J25" s="26">
        <v>161</v>
      </c>
      <c r="K25" s="26">
        <v>199</v>
      </c>
      <c r="L25" s="26">
        <v>44</v>
      </c>
      <c r="M25" s="26">
        <v>11.5</v>
      </c>
      <c r="N25" s="26">
        <v>101</v>
      </c>
      <c r="O25" s="26">
        <v>0.67900000000000005</v>
      </c>
      <c r="P25" s="26">
        <v>165</v>
      </c>
      <c r="Q25" s="26">
        <v>455</v>
      </c>
      <c r="R25" s="26">
        <v>0.39400000000000002</v>
      </c>
      <c r="S25" s="26">
        <v>126</v>
      </c>
      <c r="T25" s="26">
        <v>105</v>
      </c>
    </row>
    <row r="26" spans="1:20" x14ac:dyDescent="0.3">
      <c r="A26" s="26" t="s">
        <v>79</v>
      </c>
      <c r="B26" s="26">
        <v>2025</v>
      </c>
      <c r="C26" s="26" t="s">
        <v>3</v>
      </c>
      <c r="D26" s="26">
        <v>78</v>
      </c>
      <c r="E26" s="26">
        <v>21</v>
      </c>
      <c r="F26" s="26">
        <v>1578</v>
      </c>
      <c r="G26" s="26">
        <v>26.5</v>
      </c>
      <c r="H26" s="26">
        <v>540</v>
      </c>
      <c r="I26" s="26">
        <v>72.5</v>
      </c>
      <c r="J26" s="26">
        <v>263</v>
      </c>
      <c r="K26" s="26">
        <v>79.5</v>
      </c>
      <c r="L26" s="26">
        <v>70</v>
      </c>
      <c r="M26" s="26">
        <v>76.5</v>
      </c>
      <c r="N26" s="26">
        <v>42</v>
      </c>
      <c r="O26" s="26">
        <v>0.73399999999999999</v>
      </c>
      <c r="P26" s="26">
        <v>308</v>
      </c>
      <c r="Q26" s="26">
        <v>94.5</v>
      </c>
      <c r="R26" s="26">
        <v>0.51900000000000002</v>
      </c>
      <c r="S26" s="26">
        <v>91</v>
      </c>
      <c r="T26" s="26">
        <v>126</v>
      </c>
    </row>
    <row r="27" spans="1:20" x14ac:dyDescent="0.3">
      <c r="A27" s="26" t="s">
        <v>62</v>
      </c>
      <c r="B27" s="26">
        <v>2025</v>
      </c>
      <c r="C27" s="26" t="s">
        <v>3</v>
      </c>
      <c r="D27" s="26">
        <v>79</v>
      </c>
      <c r="E27" s="26">
        <v>114</v>
      </c>
      <c r="F27" s="26">
        <v>833</v>
      </c>
      <c r="G27" s="26">
        <v>106.5</v>
      </c>
      <c r="H27" s="26">
        <v>318</v>
      </c>
      <c r="I27" s="26">
        <v>179.5</v>
      </c>
      <c r="J27" s="26">
        <v>128</v>
      </c>
      <c r="K27" s="26">
        <v>188.5</v>
      </c>
      <c r="L27" s="26">
        <v>46</v>
      </c>
      <c r="M27" s="26">
        <v>146.5</v>
      </c>
      <c r="N27" s="26">
        <v>28</v>
      </c>
      <c r="O27" s="26">
        <v>0.78100000000000003</v>
      </c>
      <c r="P27" s="26">
        <v>114</v>
      </c>
      <c r="Q27" s="26">
        <v>83</v>
      </c>
      <c r="R27" s="26">
        <v>0.52900000000000003</v>
      </c>
      <c r="S27" s="26">
        <v>115</v>
      </c>
      <c r="T27" s="26">
        <v>110</v>
      </c>
    </row>
    <row r="28" spans="1:20" x14ac:dyDescent="0.3">
      <c r="A28" s="26" t="s">
        <v>51</v>
      </c>
      <c r="B28" s="26">
        <v>2025</v>
      </c>
      <c r="C28" s="26" t="s">
        <v>3</v>
      </c>
      <c r="D28" s="26">
        <v>49</v>
      </c>
      <c r="E28" s="26">
        <v>163.5</v>
      </c>
      <c r="F28" s="26">
        <v>680</v>
      </c>
      <c r="G28" s="26">
        <v>61</v>
      </c>
      <c r="H28" s="26">
        <v>411</v>
      </c>
      <c r="I28" s="26">
        <v>222.5</v>
      </c>
      <c r="J28" s="26">
        <v>104</v>
      </c>
      <c r="K28" s="26">
        <v>255</v>
      </c>
      <c r="L28" s="26">
        <v>35</v>
      </c>
      <c r="M28" s="26">
        <v>159.5</v>
      </c>
      <c r="N28" s="26">
        <v>26</v>
      </c>
      <c r="O28" s="26">
        <v>0.83599999999999997</v>
      </c>
      <c r="P28" s="26">
        <v>73</v>
      </c>
      <c r="Q28" s="26">
        <v>223.5</v>
      </c>
      <c r="R28" s="26">
        <v>0.46600000000000003</v>
      </c>
      <c r="S28" s="26">
        <v>210.5</v>
      </c>
      <c r="T28" s="26">
        <v>65</v>
      </c>
    </row>
    <row r="29" spans="1:20" x14ac:dyDescent="0.3">
      <c r="A29" s="26" t="s">
        <v>80</v>
      </c>
      <c r="B29" s="26">
        <v>2025</v>
      </c>
      <c r="C29" s="26" t="s">
        <v>0</v>
      </c>
      <c r="D29" s="26">
        <v>35</v>
      </c>
      <c r="E29" s="26">
        <v>205</v>
      </c>
      <c r="F29" s="26">
        <v>567</v>
      </c>
      <c r="G29" s="26">
        <v>298</v>
      </c>
      <c r="H29" s="26">
        <v>141</v>
      </c>
      <c r="I29" s="26">
        <v>176</v>
      </c>
      <c r="J29" s="26">
        <v>129</v>
      </c>
      <c r="K29" s="26">
        <v>159.5</v>
      </c>
      <c r="L29" s="26">
        <v>51</v>
      </c>
      <c r="M29" s="26">
        <v>119.5</v>
      </c>
      <c r="N29" s="26">
        <v>33</v>
      </c>
      <c r="O29" s="26">
        <v>0.88200000000000001</v>
      </c>
      <c r="P29" s="26">
        <v>110</v>
      </c>
      <c r="Q29" s="26">
        <v>416.5</v>
      </c>
      <c r="R29" s="26">
        <v>0.41</v>
      </c>
      <c r="S29" s="26">
        <v>188.5</v>
      </c>
      <c r="T29" s="26">
        <v>76</v>
      </c>
    </row>
    <row r="30" spans="1:20" x14ac:dyDescent="0.3">
      <c r="A30" s="26" t="s">
        <v>81</v>
      </c>
      <c r="B30" s="26">
        <v>2025</v>
      </c>
      <c r="C30" s="26" t="s">
        <v>2</v>
      </c>
      <c r="D30" s="26">
        <v>63</v>
      </c>
      <c r="E30" s="26">
        <v>34.5</v>
      </c>
      <c r="F30" s="26">
        <v>1398</v>
      </c>
      <c r="G30" s="26">
        <v>82.5</v>
      </c>
      <c r="H30" s="26">
        <v>368</v>
      </c>
      <c r="I30" s="26">
        <v>64</v>
      </c>
      <c r="J30" s="26">
        <v>286</v>
      </c>
      <c r="K30" s="26">
        <v>67.5</v>
      </c>
      <c r="L30" s="26">
        <v>73</v>
      </c>
      <c r="M30" s="26">
        <v>212</v>
      </c>
      <c r="N30" s="26">
        <v>19</v>
      </c>
      <c r="O30" s="26">
        <v>0.76400000000000001</v>
      </c>
      <c r="P30" s="26">
        <v>322</v>
      </c>
      <c r="Q30" s="26">
        <v>230.5</v>
      </c>
      <c r="R30" s="26">
        <v>0.46300000000000002</v>
      </c>
      <c r="S30" s="26">
        <v>101</v>
      </c>
      <c r="T30" s="26">
        <v>116</v>
      </c>
    </row>
    <row r="31" spans="1:20" x14ac:dyDescent="0.3">
      <c r="A31" s="26" t="s">
        <v>47</v>
      </c>
      <c r="B31" s="26">
        <v>2025</v>
      </c>
      <c r="C31" s="26" t="s">
        <v>2</v>
      </c>
      <c r="D31" s="26">
        <v>72</v>
      </c>
      <c r="E31" s="26">
        <v>56</v>
      </c>
      <c r="F31" s="26">
        <v>1219</v>
      </c>
      <c r="G31" s="26">
        <v>29</v>
      </c>
      <c r="H31" s="26">
        <v>522</v>
      </c>
      <c r="I31" s="26">
        <v>68</v>
      </c>
      <c r="J31" s="26">
        <v>281</v>
      </c>
      <c r="K31" s="26">
        <v>74.5</v>
      </c>
      <c r="L31" s="26">
        <v>71</v>
      </c>
      <c r="M31" s="26">
        <v>108</v>
      </c>
      <c r="N31" s="26">
        <v>35</v>
      </c>
      <c r="O31" s="26">
        <v>0.78</v>
      </c>
      <c r="P31" s="26">
        <v>372</v>
      </c>
      <c r="Q31" s="26">
        <v>191</v>
      </c>
      <c r="R31" s="26">
        <v>0.47599999999999998</v>
      </c>
      <c r="S31" s="26">
        <v>93</v>
      </c>
      <c r="T31" s="26">
        <v>125</v>
      </c>
    </row>
    <row r="32" spans="1:20" x14ac:dyDescent="0.3">
      <c r="A32" s="26" t="s">
        <v>82</v>
      </c>
      <c r="B32" s="26">
        <v>2025</v>
      </c>
      <c r="C32" s="26" t="s">
        <v>1</v>
      </c>
      <c r="D32" s="26">
        <v>80</v>
      </c>
      <c r="E32" s="26">
        <v>171</v>
      </c>
      <c r="F32" s="26">
        <v>666</v>
      </c>
      <c r="G32" s="26">
        <v>217.5</v>
      </c>
      <c r="H32" s="26">
        <v>212</v>
      </c>
      <c r="I32" s="26">
        <v>191.5</v>
      </c>
      <c r="J32" s="26">
        <v>120</v>
      </c>
      <c r="K32" s="26">
        <v>5</v>
      </c>
      <c r="L32" s="26">
        <v>121</v>
      </c>
      <c r="M32" s="26">
        <v>40</v>
      </c>
      <c r="N32" s="26">
        <v>63</v>
      </c>
      <c r="O32" s="26">
        <v>0.84899999999999998</v>
      </c>
      <c r="P32" s="26">
        <v>86</v>
      </c>
      <c r="Q32" s="26">
        <v>153</v>
      </c>
      <c r="R32" s="26">
        <v>0.48899999999999999</v>
      </c>
      <c r="S32" s="26">
        <v>74</v>
      </c>
      <c r="T32" s="26">
        <v>139</v>
      </c>
    </row>
    <row r="33" spans="1:20" ht="21" x14ac:dyDescent="0.3">
      <c r="A33" s="26" t="s">
        <v>69</v>
      </c>
      <c r="B33" s="26">
        <v>2025</v>
      </c>
      <c r="C33" s="26" t="s">
        <v>1</v>
      </c>
      <c r="D33" s="26">
        <v>65</v>
      </c>
      <c r="E33" s="26">
        <v>175</v>
      </c>
      <c r="F33" s="26">
        <v>653</v>
      </c>
      <c r="G33" s="26">
        <v>211</v>
      </c>
      <c r="H33" s="26">
        <v>216</v>
      </c>
      <c r="I33" s="26">
        <v>53</v>
      </c>
      <c r="J33" s="26">
        <v>326</v>
      </c>
      <c r="K33" s="26">
        <v>49.5</v>
      </c>
      <c r="L33" s="26">
        <v>79</v>
      </c>
      <c r="M33" s="26">
        <v>319</v>
      </c>
      <c r="N33" s="26">
        <v>11</v>
      </c>
      <c r="O33" s="26">
        <v>0.79400000000000004</v>
      </c>
      <c r="P33" s="26">
        <v>136</v>
      </c>
      <c r="Q33" s="26">
        <v>249.5</v>
      </c>
      <c r="R33" s="26">
        <v>0.45800000000000002</v>
      </c>
      <c r="S33" s="26">
        <v>240</v>
      </c>
      <c r="T33" s="26">
        <v>51</v>
      </c>
    </row>
    <row r="34" spans="1:20" x14ac:dyDescent="0.3">
      <c r="D34" s="27">
        <f>AVERAGE(D21:D33)</f>
        <v>66.230769230769226</v>
      </c>
      <c r="E34" s="28">
        <f>AVERAGE(E21:E33)</f>
        <v>120.30769230769231</v>
      </c>
      <c r="F34" s="26">
        <f>SUM(F21:F33)</f>
        <v>11879</v>
      </c>
      <c r="G34" s="28">
        <f>AVERAGE(G21:G33)</f>
        <v>88.84615384615384</v>
      </c>
      <c r="H34" s="26">
        <f>SUM(H21:H33)</f>
        <v>5942</v>
      </c>
      <c r="I34" s="28">
        <f>AVERAGE(I21:I33)</f>
        <v>143.38461538461539</v>
      </c>
      <c r="J34" s="26">
        <f>SUM(J21:J33)</f>
        <v>2542</v>
      </c>
      <c r="K34" s="28">
        <f>AVERAGE(K21:K33)</f>
        <v>150.92307692307693</v>
      </c>
      <c r="L34" s="26">
        <f>SUM(L21:L33)</f>
        <v>750</v>
      </c>
      <c r="M34" s="28">
        <f>AVERAGE(M21:M33)</f>
        <v>111.96153846153847</v>
      </c>
      <c r="N34" s="26">
        <f>SUM(N21:N33)</f>
        <v>639</v>
      </c>
      <c r="P34" s="29">
        <f>SUMPRODUCT(O22:O33,P22:P33)/SUM(P22:P33)</f>
        <v>0.77540779338468502</v>
      </c>
      <c r="Q34" s="28">
        <f>AVERAGE(Q21:Q33)</f>
        <v>176.61538461538461</v>
      </c>
      <c r="R34" s="29">
        <f>SUMPRODUCT(R22:R33,F22:F33)/SUM(F34)</f>
        <v>0.47022064146813697</v>
      </c>
      <c r="S34" s="28">
        <f>AVERAGE(S21:S33)</f>
        <v>197.26923076923077</v>
      </c>
      <c r="T34" s="26">
        <f>SUM(T21:T33)</f>
        <v>1027</v>
      </c>
    </row>
    <row r="39" spans="1:20" ht="21" x14ac:dyDescent="0.3">
      <c r="A39" s="25" t="s">
        <v>23</v>
      </c>
      <c r="B39" s="25" t="s">
        <v>24</v>
      </c>
      <c r="C39" s="25" t="s">
        <v>25</v>
      </c>
      <c r="D39" s="25" t="s">
        <v>26</v>
      </c>
      <c r="E39" s="25" t="s">
        <v>27</v>
      </c>
      <c r="F39" s="25" t="s">
        <v>28</v>
      </c>
      <c r="G39" s="25" t="s">
        <v>54</v>
      </c>
      <c r="H39" s="25" t="s">
        <v>55</v>
      </c>
      <c r="I39" s="25" t="s">
        <v>29</v>
      </c>
      <c r="J39" s="25" t="s">
        <v>30</v>
      </c>
      <c r="K39" s="25" t="s">
        <v>31</v>
      </c>
      <c r="L39" s="25" t="s">
        <v>32</v>
      </c>
      <c r="M39" s="25" t="s">
        <v>56</v>
      </c>
      <c r="N39" s="25" t="s">
        <v>57</v>
      </c>
      <c r="O39" s="25" t="s">
        <v>34</v>
      </c>
      <c r="P39" s="25" t="s">
        <v>35</v>
      </c>
      <c r="Q39" s="25" t="s">
        <v>58</v>
      </c>
      <c r="R39" s="25" t="s">
        <v>59</v>
      </c>
      <c r="S39" s="25" t="s">
        <v>36</v>
      </c>
      <c r="T39" s="25" t="s">
        <v>37</v>
      </c>
    </row>
    <row r="40" spans="1:20" ht="21" x14ac:dyDescent="0.3">
      <c r="A40" s="26" t="s">
        <v>60</v>
      </c>
      <c r="B40" s="26">
        <v>2025</v>
      </c>
      <c r="C40" s="26" t="s">
        <v>4</v>
      </c>
      <c r="D40" s="26">
        <v>72</v>
      </c>
      <c r="E40" s="26">
        <v>11</v>
      </c>
      <c r="F40" s="26">
        <v>1759</v>
      </c>
      <c r="G40" s="26">
        <v>3</v>
      </c>
      <c r="H40" s="26">
        <v>920</v>
      </c>
      <c r="I40" s="26">
        <v>88</v>
      </c>
      <c r="J40" s="26">
        <v>222</v>
      </c>
      <c r="K40" s="26">
        <v>74.5</v>
      </c>
      <c r="L40" s="26">
        <v>71</v>
      </c>
      <c r="M40" s="26">
        <v>61</v>
      </c>
      <c r="N40" s="26">
        <v>50</v>
      </c>
      <c r="O40" s="26">
        <v>0.82899999999999996</v>
      </c>
      <c r="P40" s="26">
        <v>409</v>
      </c>
      <c r="Q40" s="26">
        <v>86.5</v>
      </c>
      <c r="R40" s="26">
        <v>0.52600000000000002</v>
      </c>
      <c r="S40" s="26">
        <v>68.5</v>
      </c>
      <c r="T40" s="26">
        <v>142</v>
      </c>
    </row>
    <row r="41" spans="1:20" ht="21" x14ac:dyDescent="0.3">
      <c r="A41" s="26" t="s">
        <v>38</v>
      </c>
      <c r="B41" s="26">
        <v>2025</v>
      </c>
      <c r="C41" s="26" t="s">
        <v>4</v>
      </c>
      <c r="D41" s="26">
        <v>81</v>
      </c>
      <c r="E41" s="26">
        <v>110</v>
      </c>
      <c r="F41" s="26">
        <v>843</v>
      </c>
      <c r="G41" s="26">
        <v>16</v>
      </c>
      <c r="H41" s="26">
        <v>627</v>
      </c>
      <c r="I41" s="26">
        <v>129</v>
      </c>
      <c r="J41" s="26">
        <v>164</v>
      </c>
      <c r="K41" s="26">
        <v>239</v>
      </c>
      <c r="L41" s="26">
        <v>37</v>
      </c>
      <c r="M41" s="26">
        <v>68</v>
      </c>
      <c r="N41" s="26">
        <v>46</v>
      </c>
      <c r="O41" s="26">
        <v>0.879</v>
      </c>
      <c r="P41" s="26">
        <v>165</v>
      </c>
      <c r="Q41" s="26">
        <v>69</v>
      </c>
      <c r="R41" s="26">
        <v>0.55000000000000004</v>
      </c>
      <c r="S41" s="26">
        <v>411.5</v>
      </c>
      <c r="T41" s="26">
        <v>8</v>
      </c>
    </row>
    <row r="42" spans="1:20" x14ac:dyDescent="0.3">
      <c r="A42" s="26" t="s">
        <v>84</v>
      </c>
      <c r="B42" s="26">
        <v>2025</v>
      </c>
      <c r="C42" s="26" t="s">
        <v>4</v>
      </c>
      <c r="D42" s="26">
        <v>19</v>
      </c>
      <c r="E42" s="26">
        <v>246</v>
      </c>
      <c r="F42" s="26">
        <v>452</v>
      </c>
      <c r="G42" s="26">
        <v>289</v>
      </c>
      <c r="H42" s="26">
        <v>155</v>
      </c>
      <c r="I42" s="26">
        <v>254</v>
      </c>
      <c r="J42" s="26">
        <v>85</v>
      </c>
      <c r="K42" s="26">
        <v>393.5</v>
      </c>
      <c r="L42" s="26">
        <v>14</v>
      </c>
      <c r="M42" s="26">
        <v>219.5</v>
      </c>
      <c r="N42" s="26">
        <v>18</v>
      </c>
      <c r="O42" s="26">
        <v>0.88200000000000001</v>
      </c>
      <c r="P42" s="26">
        <v>169</v>
      </c>
      <c r="Q42" s="26">
        <v>295.5</v>
      </c>
      <c r="R42" s="26">
        <v>0.44400000000000001</v>
      </c>
      <c r="S42" s="26">
        <v>327.5</v>
      </c>
      <c r="T42" s="26">
        <v>23</v>
      </c>
    </row>
    <row r="43" spans="1:20" x14ac:dyDescent="0.3">
      <c r="A43" s="26" t="s">
        <v>78</v>
      </c>
      <c r="B43" s="26">
        <v>2025</v>
      </c>
      <c r="C43" s="26" t="s">
        <v>4</v>
      </c>
      <c r="D43" s="26">
        <v>67</v>
      </c>
      <c r="E43" s="26">
        <v>106</v>
      </c>
      <c r="F43" s="26">
        <v>869</v>
      </c>
      <c r="G43" s="26">
        <v>54</v>
      </c>
      <c r="H43" s="26">
        <v>435</v>
      </c>
      <c r="I43" s="26">
        <v>134</v>
      </c>
      <c r="J43" s="26">
        <v>161</v>
      </c>
      <c r="K43" s="26">
        <v>199</v>
      </c>
      <c r="L43" s="26">
        <v>44</v>
      </c>
      <c r="M43" s="26">
        <v>11.5</v>
      </c>
      <c r="N43" s="26">
        <v>101</v>
      </c>
      <c r="O43" s="26">
        <v>0.67900000000000005</v>
      </c>
      <c r="P43" s="26">
        <v>165</v>
      </c>
      <c r="Q43" s="26">
        <v>455</v>
      </c>
      <c r="R43" s="26">
        <v>0.39400000000000002</v>
      </c>
      <c r="S43" s="26">
        <v>126</v>
      </c>
      <c r="T43" s="26">
        <v>105</v>
      </c>
    </row>
    <row r="44" spans="1:20" x14ac:dyDescent="0.3">
      <c r="A44" s="26" t="s">
        <v>51</v>
      </c>
      <c r="B44" s="26">
        <v>2025</v>
      </c>
      <c r="C44" s="26" t="s">
        <v>3</v>
      </c>
      <c r="D44" s="26">
        <v>49</v>
      </c>
      <c r="E44" s="26">
        <v>163.5</v>
      </c>
      <c r="F44" s="26">
        <v>680</v>
      </c>
      <c r="G44" s="26">
        <v>61</v>
      </c>
      <c r="H44" s="26">
        <v>411</v>
      </c>
      <c r="I44" s="26">
        <v>222.5</v>
      </c>
      <c r="J44" s="26">
        <v>104</v>
      </c>
      <c r="K44" s="26">
        <v>255</v>
      </c>
      <c r="L44" s="26">
        <v>35</v>
      </c>
      <c r="M44" s="26">
        <v>159.5</v>
      </c>
      <c r="N44" s="26">
        <v>26</v>
      </c>
      <c r="O44" s="26">
        <v>0.83599999999999997</v>
      </c>
      <c r="P44" s="26">
        <v>73</v>
      </c>
      <c r="Q44" s="26">
        <v>223.5</v>
      </c>
      <c r="R44" s="26">
        <v>0.46600000000000003</v>
      </c>
      <c r="S44" s="26">
        <v>210.5</v>
      </c>
      <c r="T44" s="26">
        <v>65</v>
      </c>
    </row>
    <row r="45" spans="1:20" x14ac:dyDescent="0.3">
      <c r="A45" s="26" t="s">
        <v>85</v>
      </c>
      <c r="B45" s="26">
        <v>2025</v>
      </c>
      <c r="C45" s="26" t="s">
        <v>3</v>
      </c>
      <c r="D45" s="26">
        <v>51</v>
      </c>
      <c r="E45" s="26">
        <v>51</v>
      </c>
      <c r="F45" s="26">
        <v>1261</v>
      </c>
      <c r="G45" s="26">
        <v>20</v>
      </c>
      <c r="H45" s="26">
        <v>590</v>
      </c>
      <c r="I45" s="26">
        <v>114</v>
      </c>
      <c r="J45" s="26">
        <v>181</v>
      </c>
      <c r="K45" s="26">
        <v>125</v>
      </c>
      <c r="L45" s="26">
        <v>59</v>
      </c>
      <c r="M45" s="26">
        <v>7.5</v>
      </c>
      <c r="N45" s="26">
        <v>110</v>
      </c>
      <c r="O45" s="26">
        <v>0.77500000000000002</v>
      </c>
      <c r="P45" s="26">
        <v>369</v>
      </c>
      <c r="Q45" s="26">
        <v>98</v>
      </c>
      <c r="R45" s="26">
        <v>0.51600000000000001</v>
      </c>
      <c r="S45" s="26">
        <v>275.5</v>
      </c>
      <c r="T45" s="26">
        <v>35</v>
      </c>
    </row>
    <row r="46" spans="1:20" x14ac:dyDescent="0.3">
      <c r="A46" s="26" t="s">
        <v>44</v>
      </c>
      <c r="B46" s="26">
        <v>2025</v>
      </c>
      <c r="C46" s="26" t="s">
        <v>2</v>
      </c>
      <c r="D46" s="26">
        <v>80</v>
      </c>
      <c r="E46" s="26">
        <v>158</v>
      </c>
      <c r="F46" s="26">
        <v>688</v>
      </c>
      <c r="G46" s="26">
        <v>140</v>
      </c>
      <c r="H46" s="26">
        <v>278</v>
      </c>
      <c r="I46" s="26">
        <v>274</v>
      </c>
      <c r="J46" s="26">
        <v>79</v>
      </c>
      <c r="K46" s="26">
        <v>289.5</v>
      </c>
      <c r="L46" s="26">
        <v>29</v>
      </c>
      <c r="M46" s="26">
        <v>26</v>
      </c>
      <c r="N46" s="26">
        <v>75</v>
      </c>
      <c r="O46" s="26">
        <v>0.81499999999999995</v>
      </c>
      <c r="P46" s="26">
        <v>108</v>
      </c>
      <c r="Q46" s="26">
        <v>264.5</v>
      </c>
      <c r="R46" s="26">
        <v>0.45400000000000001</v>
      </c>
      <c r="S46" s="26">
        <v>145.5</v>
      </c>
      <c r="T46" s="26">
        <v>96</v>
      </c>
    </row>
    <row r="47" spans="1:20" x14ac:dyDescent="0.3">
      <c r="A47" s="26" t="s">
        <v>46</v>
      </c>
      <c r="B47" s="26">
        <v>2025</v>
      </c>
      <c r="C47" s="26" t="s">
        <v>2</v>
      </c>
      <c r="D47" s="26">
        <v>20</v>
      </c>
      <c r="E47" s="26">
        <v>353</v>
      </c>
      <c r="F47" s="26">
        <v>205</v>
      </c>
      <c r="G47" s="26">
        <v>379</v>
      </c>
      <c r="H47" s="26">
        <v>78</v>
      </c>
      <c r="I47" s="26">
        <v>304.5</v>
      </c>
      <c r="J47" s="26">
        <v>65</v>
      </c>
      <c r="K47" s="26">
        <v>239</v>
      </c>
      <c r="L47" s="26">
        <v>37</v>
      </c>
      <c r="M47" s="26">
        <v>353</v>
      </c>
      <c r="N47" s="26">
        <v>9</v>
      </c>
      <c r="O47" s="26">
        <v>0.82499999999999996</v>
      </c>
      <c r="P47" s="26">
        <v>40</v>
      </c>
      <c r="Q47" s="26">
        <v>327</v>
      </c>
      <c r="R47" s="26">
        <v>0.436</v>
      </c>
      <c r="S47" s="26">
        <v>333</v>
      </c>
      <c r="T47" s="26">
        <v>22</v>
      </c>
    </row>
    <row r="48" spans="1:20" x14ac:dyDescent="0.3">
      <c r="A48" s="26" t="s">
        <v>47</v>
      </c>
      <c r="B48" s="26">
        <v>2025</v>
      </c>
      <c r="C48" s="26" t="s">
        <v>2</v>
      </c>
      <c r="D48" s="26">
        <v>72</v>
      </c>
      <c r="E48" s="26">
        <v>56</v>
      </c>
      <c r="F48" s="26">
        <v>1219</v>
      </c>
      <c r="G48" s="26">
        <v>29</v>
      </c>
      <c r="H48" s="26">
        <v>522</v>
      </c>
      <c r="I48" s="26">
        <v>68</v>
      </c>
      <c r="J48" s="26">
        <v>281</v>
      </c>
      <c r="K48" s="26">
        <v>74.5</v>
      </c>
      <c r="L48" s="26">
        <v>71</v>
      </c>
      <c r="M48" s="26">
        <v>108</v>
      </c>
      <c r="N48" s="26">
        <v>35</v>
      </c>
      <c r="O48" s="26">
        <v>0.78</v>
      </c>
      <c r="P48" s="26">
        <v>372</v>
      </c>
      <c r="Q48" s="26">
        <v>191</v>
      </c>
      <c r="R48" s="26">
        <v>0.47599999999999998</v>
      </c>
      <c r="S48" s="26">
        <v>93</v>
      </c>
      <c r="T48" s="26">
        <v>125</v>
      </c>
    </row>
    <row r="49" spans="1:20" ht="21" x14ac:dyDescent="0.3">
      <c r="A49" s="26" t="s">
        <v>86</v>
      </c>
      <c r="B49" s="26">
        <v>2025</v>
      </c>
      <c r="C49" s="26" t="s">
        <v>2</v>
      </c>
      <c r="D49" s="26">
        <v>72</v>
      </c>
      <c r="E49" s="26">
        <v>64</v>
      </c>
      <c r="F49" s="26">
        <v>1156</v>
      </c>
      <c r="G49" s="26">
        <v>73</v>
      </c>
      <c r="H49" s="26">
        <v>383</v>
      </c>
      <c r="I49" s="26">
        <v>165</v>
      </c>
      <c r="J49" s="26">
        <v>136</v>
      </c>
      <c r="K49" s="26">
        <v>181</v>
      </c>
      <c r="L49" s="26">
        <v>47</v>
      </c>
      <c r="M49" s="26">
        <v>171</v>
      </c>
      <c r="N49" s="26">
        <v>24</v>
      </c>
      <c r="O49" s="26">
        <v>0.83099999999999996</v>
      </c>
      <c r="P49" s="26">
        <v>332</v>
      </c>
      <c r="Q49" s="26">
        <v>249.5</v>
      </c>
      <c r="R49" s="26">
        <v>0.45800000000000002</v>
      </c>
      <c r="S49" s="26">
        <v>141.5</v>
      </c>
      <c r="T49" s="26">
        <v>98</v>
      </c>
    </row>
    <row r="50" spans="1:20" x14ac:dyDescent="0.3">
      <c r="A50" s="26" t="s">
        <v>87</v>
      </c>
      <c r="B50" s="26">
        <v>2025</v>
      </c>
      <c r="C50" s="26" t="s">
        <v>1</v>
      </c>
      <c r="D50" s="26">
        <v>75</v>
      </c>
      <c r="E50" s="26">
        <v>133</v>
      </c>
      <c r="F50" s="26">
        <v>771</v>
      </c>
      <c r="G50" s="26">
        <v>140</v>
      </c>
      <c r="H50" s="26">
        <v>278</v>
      </c>
      <c r="I50" s="26">
        <v>75.5</v>
      </c>
      <c r="J50" s="26">
        <v>256</v>
      </c>
      <c r="K50" s="26">
        <v>44.5</v>
      </c>
      <c r="L50" s="26">
        <v>81</v>
      </c>
      <c r="M50" s="26">
        <v>287.5</v>
      </c>
      <c r="N50" s="26">
        <v>13</v>
      </c>
      <c r="O50" s="26">
        <v>0.76900000000000002</v>
      </c>
      <c r="P50" s="26">
        <v>169</v>
      </c>
      <c r="Q50" s="26">
        <v>278</v>
      </c>
      <c r="R50" s="26">
        <v>0.44900000000000001</v>
      </c>
      <c r="S50" s="26">
        <v>235.5</v>
      </c>
      <c r="T50" s="26">
        <v>55</v>
      </c>
    </row>
    <row r="51" spans="1:20" x14ac:dyDescent="0.3">
      <c r="A51" s="26" t="s">
        <v>72</v>
      </c>
      <c r="B51" s="26">
        <v>2025</v>
      </c>
      <c r="C51" s="26" t="s">
        <v>1</v>
      </c>
      <c r="D51" s="26">
        <v>76</v>
      </c>
      <c r="E51" s="26">
        <v>53</v>
      </c>
      <c r="F51" s="26">
        <v>1248</v>
      </c>
      <c r="G51" s="26">
        <v>94.5</v>
      </c>
      <c r="H51" s="26">
        <v>341</v>
      </c>
      <c r="I51" s="26">
        <v>37</v>
      </c>
      <c r="J51" s="26">
        <v>361</v>
      </c>
      <c r="K51" s="26">
        <v>71</v>
      </c>
      <c r="L51" s="26">
        <v>72</v>
      </c>
      <c r="M51" s="26">
        <v>21.5</v>
      </c>
      <c r="N51" s="26">
        <v>80</v>
      </c>
      <c r="O51" s="26">
        <v>0.83899999999999997</v>
      </c>
      <c r="P51" s="26">
        <v>161</v>
      </c>
      <c r="Q51" s="26">
        <v>304.5</v>
      </c>
      <c r="R51" s="26">
        <v>0.442</v>
      </c>
      <c r="S51" s="26">
        <v>4</v>
      </c>
      <c r="T51" s="26">
        <v>265</v>
      </c>
    </row>
    <row r="52" spans="1:20" x14ac:dyDescent="0.3">
      <c r="A52" s="26" t="s">
        <v>74</v>
      </c>
      <c r="B52" s="26">
        <v>2025</v>
      </c>
      <c r="C52" s="26" t="s">
        <v>1</v>
      </c>
      <c r="D52" s="26">
        <v>73</v>
      </c>
      <c r="E52" s="26">
        <v>25</v>
      </c>
      <c r="F52" s="26">
        <v>1475</v>
      </c>
      <c r="G52" s="26">
        <v>97</v>
      </c>
      <c r="H52" s="26">
        <v>329</v>
      </c>
      <c r="I52" s="26">
        <v>21.5</v>
      </c>
      <c r="J52" s="26">
        <v>421</v>
      </c>
      <c r="K52" s="26">
        <v>44.5</v>
      </c>
      <c r="L52" s="26">
        <v>81</v>
      </c>
      <c r="M52" s="26">
        <v>190</v>
      </c>
      <c r="N52" s="26">
        <v>22</v>
      </c>
      <c r="O52" s="26">
        <v>0.877</v>
      </c>
      <c r="P52" s="26">
        <v>366</v>
      </c>
      <c r="Q52" s="26">
        <v>242</v>
      </c>
      <c r="R52" s="26">
        <v>0.46</v>
      </c>
      <c r="S52" s="26">
        <v>20</v>
      </c>
      <c r="T52" s="26">
        <v>200</v>
      </c>
    </row>
    <row r="53" spans="1:20" x14ac:dyDescent="0.3">
      <c r="D53" s="27">
        <f>AVERAGE(D40:D52)</f>
        <v>62.07692307692308</v>
      </c>
      <c r="E53" s="28">
        <f>AVERAGE(E40:E52)</f>
        <v>117.65384615384616</v>
      </c>
      <c r="F53" s="26">
        <f>SUM(F40:F52)</f>
        <v>12626</v>
      </c>
      <c r="G53" s="28">
        <f>AVERAGE(G40:G52)</f>
        <v>107.34615384615384</v>
      </c>
      <c r="H53" s="26">
        <f>SUM(H40:H52)</f>
        <v>5347</v>
      </c>
      <c r="I53" s="28">
        <f>AVERAGE(I40:I52)</f>
        <v>145.15384615384616</v>
      </c>
      <c r="J53" s="26">
        <f>SUM(J40:J52)</f>
        <v>2516</v>
      </c>
      <c r="K53" s="28">
        <f>AVERAGE(K40:K52)</f>
        <v>171.53846153846155</v>
      </c>
      <c r="L53" s="26">
        <f>SUM(L40:L52)</f>
        <v>678</v>
      </c>
      <c r="M53" s="28">
        <f>AVERAGE(M40:M52)</f>
        <v>129.53846153846155</v>
      </c>
      <c r="N53" s="26">
        <f>SUM(N40:N52)</f>
        <v>609</v>
      </c>
      <c r="P53" s="29">
        <f>SUMPRODUCT(O41:O52,P41:P52)/SUM(P41:P52)</f>
        <v>0.81407191643230215</v>
      </c>
      <c r="Q53" s="28">
        <f>AVERAGE(Q40:Q52)</f>
        <v>237.23076923076923</v>
      </c>
      <c r="R53" s="29">
        <f>SUMPRODUCT(R41:R52,F41:F52)/SUM(F53)</f>
        <v>0.40091865990812608</v>
      </c>
      <c r="S53" s="28">
        <f>AVERAGE(S40:S52)</f>
        <v>184</v>
      </c>
      <c r="T53" s="26">
        <f>SUM(T40:T52)</f>
        <v>1239</v>
      </c>
    </row>
  </sheetData>
  <conditionalFormatting sqref="M4:M15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1:M3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4:Q15 G4:G15 E4:E15 I4:I15 K4:K15 S4:S1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1:Q33 G21:G33 E21:E33 I21:I33 K21:K33 S21:S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40:M5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40:Q52 G40:G52 E40:E52 I40:I52 K40:K52 S40:S5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3</vt:i4>
      </vt:variant>
    </vt:vector>
  </HeadingPairs>
  <TitlesOfParts>
    <vt:vector size="3" baseType="lpstr">
      <vt:lpstr>Sheet1</vt:lpstr>
      <vt:lpstr>ast-ft-3pt-stl</vt:lpstr>
      <vt:lpstr>reb-fg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סער פרדו</dc:creator>
  <cp:lastModifiedBy>סער פרדו</cp:lastModifiedBy>
  <dcterms:created xsi:type="dcterms:W3CDTF">2015-06-05T18:17:20Z</dcterms:created>
  <dcterms:modified xsi:type="dcterms:W3CDTF">2025-09-15T13:05:22Z</dcterms:modified>
</cp:coreProperties>
</file>