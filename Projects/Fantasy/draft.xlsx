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saarp\Documents\GitHub\portfolio\Projects\Fantasy\"/>
    </mc:Choice>
  </mc:AlternateContent>
  <xr:revisionPtr revIDLastSave="0" documentId="13_ncr:1_{26916B08-FF84-4C6F-AFCD-3976ECBDDFC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Sheet1" sheetId="1" r:id="rId1"/>
    <sheet name="ast-ft-3pt-st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" i="2" l="1"/>
  <c r="N50" i="2"/>
  <c r="L50" i="2"/>
  <c r="J50" i="2"/>
  <c r="I50" i="2"/>
  <c r="H50" i="2"/>
  <c r="G50" i="2"/>
  <c r="F50" i="2"/>
  <c r="E50" i="2"/>
  <c r="D50" i="2"/>
  <c r="O32" i="2"/>
  <c r="N32" i="2"/>
  <c r="L32" i="2"/>
  <c r="J32" i="2"/>
  <c r="I32" i="2"/>
  <c r="H32" i="2"/>
  <c r="G32" i="2"/>
  <c r="F32" i="2"/>
  <c r="E32" i="2"/>
  <c r="D32" i="2"/>
  <c r="O15" i="2"/>
  <c r="N15" i="2"/>
  <c r="I15" i="2"/>
  <c r="G15" i="2"/>
  <c r="E15" i="2"/>
  <c r="D15" i="2"/>
  <c r="L15" i="2"/>
  <c r="J15" i="2"/>
  <c r="F15" i="2"/>
  <c r="H15" i="2"/>
</calcChain>
</file>

<file path=xl/sharedStrings.xml><?xml version="1.0" encoding="utf-8"?>
<sst xmlns="http://schemas.openxmlformats.org/spreadsheetml/2006/main" count="146" uniqueCount="56">
  <si>
    <t>PG</t>
  </si>
  <si>
    <t>SG</t>
  </si>
  <si>
    <t>SF</t>
  </si>
  <si>
    <t>PF</t>
  </si>
  <si>
    <t>C</t>
  </si>
  <si>
    <t>Tier1</t>
  </si>
  <si>
    <t>Tier2</t>
  </si>
  <si>
    <t>Tier3</t>
  </si>
  <si>
    <r>
      <t xml:space="preserve">Anthony Edwards
</t>
    </r>
    <r>
      <rPr>
        <sz val="8"/>
        <color theme="1"/>
        <rFont val="Arial"/>
        <family val="2"/>
        <scheme val="minor"/>
      </rPr>
      <t>Pts, trb, x3pa, fta, stl</t>
    </r>
  </si>
  <si>
    <r>
      <t xml:space="preserve">Austin Reaves
</t>
    </r>
    <r>
      <rPr>
        <sz val="8"/>
        <color theme="1"/>
        <rFont val="Arial"/>
        <family val="2"/>
        <scheme val="minor"/>
      </rPr>
      <t>Pts, ast, x3pa, fta</t>
    </r>
  </si>
  <si>
    <r>
      <t xml:space="preserve">Josh Hart
</t>
    </r>
    <r>
      <rPr>
        <sz val="8"/>
        <color theme="1"/>
        <rFont val="Arial"/>
        <family val="2"/>
        <scheme val="minor"/>
      </rPr>
      <t>Trb, ast, stl</t>
    </r>
  </si>
  <si>
    <r>
      <t xml:space="preserve">Fred VanVleet	
</t>
    </r>
    <r>
      <rPr>
        <sz val="8"/>
        <color theme="1"/>
        <rFont val="Arial"/>
        <family val="2"/>
        <scheme val="minor"/>
      </rPr>
      <t>Pts, ast, stl, x3pa</t>
    </r>
  </si>
  <si>
    <r>
      <t xml:space="preserve">Cade Cunningham
</t>
    </r>
    <r>
      <rPr>
        <sz val="8"/>
        <color theme="1"/>
        <rFont val="Arial"/>
        <family val="2"/>
        <scheme val="minor"/>
      </rPr>
      <t>Pts, ast, x3pa, fta(87%)</t>
    </r>
  </si>
  <si>
    <r>
      <t xml:space="preserve">Scoot Henderson
</t>
    </r>
    <r>
      <rPr>
        <sz val="8"/>
        <color theme="1"/>
        <rFont val="Arial"/>
        <family val="2"/>
        <scheme val="minor"/>
      </rPr>
      <t>Pts, ast, fta(79%)</t>
    </r>
  </si>
  <si>
    <r>
      <t xml:space="preserve">Franz Wagner
</t>
    </r>
    <r>
      <rPr>
        <sz val="8"/>
        <color theme="1"/>
        <rFont val="Arial"/>
        <family val="2"/>
        <scheme val="minor"/>
      </rPr>
      <t>Pts, trb, stl, fta(86%)</t>
    </r>
  </si>
  <si>
    <r>
      <t xml:space="preserve">Duncan Robinson
</t>
    </r>
    <r>
      <rPr>
        <sz val="8"/>
        <color theme="1"/>
        <rFont val="Arial"/>
        <family val="2"/>
        <scheme val="minor"/>
      </rPr>
      <t>Pts, x3pa(39%)</t>
    </r>
  </si>
  <si>
    <r>
      <t xml:space="preserve">Deni Avdija
</t>
    </r>
    <r>
      <rPr>
        <sz val="8"/>
        <color theme="1"/>
        <rFont val="Arial"/>
        <family val="2"/>
        <scheme val="minor"/>
      </rPr>
      <t>Pts, trb, stl, fta(76%)</t>
    </r>
  </si>
  <si>
    <r>
      <t xml:space="preserve">Paolo Banchero	
</t>
    </r>
    <r>
      <rPr>
        <sz val="8"/>
        <color theme="1"/>
        <rFont val="Arial"/>
        <family val="2"/>
        <scheme val="minor"/>
      </rPr>
      <t>Pts, trb, fta(73%)</t>
    </r>
  </si>
  <si>
    <r>
      <t xml:space="preserve">Bobby Portis		
</t>
    </r>
    <r>
      <rPr>
        <sz val="8"/>
        <color theme="1"/>
        <rFont val="Arial"/>
        <family val="2"/>
        <scheme val="minor"/>
      </rPr>
      <t>Pts, trb</t>
    </r>
  </si>
  <si>
    <r>
      <t xml:space="preserve">Jaden McDaniels /
Toumani Camara /
Obi Toppin 	
</t>
    </r>
    <r>
      <rPr>
        <sz val="8"/>
        <color theme="1"/>
        <rFont val="Arial"/>
        <family val="2"/>
        <scheme val="minor"/>
      </rPr>
      <t>trb, stl, blk</t>
    </r>
  </si>
  <si>
    <r>
      <t xml:space="preserve">Alperen Şengün
</t>
    </r>
    <r>
      <rPr>
        <sz val="8"/>
        <color theme="1"/>
        <rFont val="Arial"/>
        <family val="2"/>
        <scheme val="minor"/>
      </rPr>
      <t>Pts, trb, ast, stl, fta(69%)</t>
    </r>
  </si>
  <si>
    <r>
      <t xml:space="preserve">Myles Turner / 
Ivica Zubac
</t>
    </r>
    <r>
      <rPr>
        <sz val="8"/>
        <color theme="1"/>
        <rFont val="Arial"/>
        <family val="2"/>
        <scheme val="minor"/>
      </rPr>
      <t>Pts, trb, blk, fta</t>
    </r>
  </si>
  <si>
    <r>
      <t xml:space="preserve">Bam Adebayo
</t>
    </r>
    <r>
      <rPr>
        <sz val="8"/>
        <color theme="1"/>
        <rFont val="Arial"/>
        <family val="2"/>
        <scheme val="minor"/>
      </rPr>
      <t>Pts, trb, ast, fta(76%)</t>
    </r>
  </si>
  <si>
    <t>player</t>
  </si>
  <si>
    <t>season</t>
  </si>
  <si>
    <t>pos</t>
  </si>
  <si>
    <t>g</t>
  </si>
  <si>
    <t>pts_rank</t>
  </si>
  <si>
    <t>pts</t>
  </si>
  <si>
    <t>ast_rank</t>
  </si>
  <si>
    <t>ast</t>
  </si>
  <si>
    <t>stl_rank</t>
  </si>
  <si>
    <t>stl</t>
  </si>
  <si>
    <t>ft_percent_rank</t>
  </si>
  <si>
    <t>ft_percent</t>
  </si>
  <si>
    <t>fta</t>
  </si>
  <si>
    <t>x3p_rank</t>
  </si>
  <si>
    <t>x3p</t>
  </si>
  <si>
    <t>Jonas Valančiūnas</t>
  </si>
  <si>
    <t>Bam Adebayo</t>
  </si>
  <si>
    <t>Tobias Harris</t>
  </si>
  <si>
    <t>Julius Randle</t>
  </si>
  <si>
    <t>Tyrese Maxey</t>
  </si>
  <si>
    <t>Trae Young</t>
  </si>
  <si>
    <t>D'Angelo Russell</t>
  </si>
  <si>
    <t>Matas Buzelis</t>
  </si>
  <si>
    <t>Klay Thompson</t>
  </si>
  <si>
    <t>Herbert Jones</t>
  </si>
  <si>
    <t>Deni Avdija</t>
  </si>
  <si>
    <t>Desmond Bane</t>
  </si>
  <si>
    <t>Anfernee Simons</t>
  </si>
  <si>
    <t>Onyeka Okongwu</t>
  </si>
  <si>
    <t>Bobby Portis</t>
  </si>
  <si>
    <t>LaMelo Ball</t>
  </si>
  <si>
    <t>Zach LaVine</t>
  </si>
  <si>
    <t>Kyrie Irving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</si>
</sst>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0.000"/>
  </numFmts>
  <fonts count="6" x14ac:knownFonts="1"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1"/>
      <color theme="1"/>
      <name val="Arial"/>
      <family val="2"/>
      <scheme val="minor"/>
    </font>
    <font>
      <b/>
      <sz val="7"/>
      <color rgb="FF212121"/>
      <name val="Segoe UI"/>
      <family val="2"/>
    </font>
    <font>
      <sz val="7"/>
      <color rgb="FF2121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vertical="center" wrapText="1"/>
    </xf>
    <xf numFmtId="0" fontId="0" fillId="6" borderId="2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4" fillId="0" borderId="3" xfId="0" applyFont="1" applyBorder="1" applyAlignment="1">
      <alignment horizontal="right" vertical="center" wrapText="1"/>
    </xf>
    <xf numFmtId="0" fontId="5" fillId="0" borderId="3" xfId="0" applyFont="1" applyBorder="1" applyAlignment="1">
      <alignment horizontal="right" vertical="center" wrapText="1"/>
    </xf>
    <xf numFmtId="175" fontId="5" fillId="0" borderId="3" xfId="0" applyNumberFormat="1" applyFont="1" applyBorder="1" applyAlignment="1">
      <alignment horizontal="right" vertical="center" wrapText="1"/>
    </xf>
    <xf numFmtId="175" fontId="4" fillId="7" borderId="3" xfId="0" applyNumberFormat="1" applyFont="1" applyFill="1" applyBorder="1" applyAlignment="1">
      <alignment horizontal="center" vertical="center" wrapText="1"/>
    </xf>
    <xf numFmtId="10" fontId="4" fillId="7" borderId="3" xfId="1" applyNumberFormat="1" applyFont="1" applyFill="1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workbookViewId="0">
      <selection activeCell="F8" sqref="F8"/>
    </sheetView>
  </sheetViews>
  <sheetFormatPr defaultRowHeight="14" x14ac:dyDescent="0.3"/>
  <cols>
    <col min="1" max="1" width="8.58203125" customWidth="1"/>
    <col min="2" max="2" width="24.08203125" customWidth="1"/>
    <col min="3" max="3" width="22.6640625" customWidth="1"/>
    <col min="4" max="4" width="19.08203125" customWidth="1"/>
    <col min="5" max="5" width="28.5" customWidth="1"/>
    <col min="6" max="6" width="19.08203125" customWidth="1"/>
  </cols>
  <sheetData>
    <row r="1" spans="1:6" ht="14.5" thickBot="1" x14ac:dyDescent="0.35">
      <c r="A1" s="7"/>
      <c r="B1" s="8" t="s">
        <v>0</v>
      </c>
      <c r="C1" s="9" t="s">
        <v>1</v>
      </c>
      <c r="D1" s="13" t="s">
        <v>2</v>
      </c>
      <c r="E1" s="17" t="s">
        <v>3</v>
      </c>
      <c r="F1" s="21" t="s">
        <v>4</v>
      </c>
    </row>
    <row r="2" spans="1:6" ht="24" x14ac:dyDescent="0.3">
      <c r="A2" s="1" t="s">
        <v>5</v>
      </c>
      <c r="B2" s="6" t="s">
        <v>12</v>
      </c>
      <c r="C2" s="10" t="s">
        <v>8</v>
      </c>
      <c r="D2" s="14" t="s">
        <v>14</v>
      </c>
      <c r="E2" s="18" t="s">
        <v>17</v>
      </c>
      <c r="F2" s="22" t="s">
        <v>20</v>
      </c>
    </row>
    <row r="3" spans="1:6" ht="24" x14ac:dyDescent="0.3">
      <c r="A3" s="4" t="s">
        <v>6</v>
      </c>
      <c r="B3" s="5" t="s">
        <v>11</v>
      </c>
      <c r="C3" s="11" t="s">
        <v>9</v>
      </c>
      <c r="D3" s="15" t="s">
        <v>16</v>
      </c>
      <c r="E3" s="19" t="s">
        <v>18</v>
      </c>
      <c r="F3" s="23" t="s">
        <v>22</v>
      </c>
    </row>
    <row r="4" spans="1:6" ht="26" customHeight="1" thickBot="1" x14ac:dyDescent="0.35">
      <c r="A4" s="2" t="s">
        <v>7</v>
      </c>
      <c r="B4" s="3" t="s">
        <v>13</v>
      </c>
      <c r="C4" s="12" t="s">
        <v>10</v>
      </c>
      <c r="D4" s="16" t="s">
        <v>15</v>
      </c>
      <c r="E4" s="20" t="s">
        <v>19</v>
      </c>
      <c r="F4" s="24" t="s">
        <v>21</v>
      </c>
    </row>
    <row r="5" spans="1:6" x14ac:dyDescent="0.3">
      <c r="A5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682C-4BC5-4CA4-8F29-4FBF1E7BAF95}">
  <dimension ref="A1:O50"/>
  <sheetViews>
    <sheetView tabSelected="1" topLeftCell="A21" zoomScaleNormal="100" workbookViewId="0">
      <selection activeCell="G53" sqref="G53"/>
    </sheetView>
  </sheetViews>
  <sheetFormatPr defaultRowHeight="14" x14ac:dyDescent="0.3"/>
  <cols>
    <col min="1" max="1" width="15.25" customWidth="1"/>
    <col min="13" max="13" width="8.6640625" customWidth="1"/>
  </cols>
  <sheetData>
    <row r="1" spans="1:15" ht="21" x14ac:dyDescent="0.3">
      <c r="A1" s="25" t="s">
        <v>23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25" t="s">
        <v>29</v>
      </c>
      <c r="H1" s="25" t="s">
        <v>30</v>
      </c>
      <c r="I1" s="25" t="s">
        <v>31</v>
      </c>
      <c r="J1" s="25" t="s">
        <v>32</v>
      </c>
      <c r="K1" s="25" t="s">
        <v>33</v>
      </c>
      <c r="L1" s="25" t="s">
        <v>34</v>
      </c>
      <c r="M1" s="25" t="s">
        <v>35</v>
      </c>
      <c r="N1" s="25" t="s">
        <v>36</v>
      </c>
      <c r="O1" s="25" t="s">
        <v>37</v>
      </c>
    </row>
    <row r="2" spans="1:15" x14ac:dyDescent="0.3">
      <c r="A2" s="26" t="s">
        <v>42</v>
      </c>
      <c r="B2" s="26">
        <v>2025</v>
      </c>
      <c r="C2" s="26" t="s">
        <v>0</v>
      </c>
      <c r="D2" s="26">
        <v>52</v>
      </c>
      <c r="E2" s="26">
        <v>37</v>
      </c>
      <c r="F2" s="26">
        <v>1369</v>
      </c>
      <c r="G2" s="26">
        <v>56</v>
      </c>
      <c r="H2" s="26">
        <v>317</v>
      </c>
      <c r="I2" s="26">
        <v>30.5</v>
      </c>
      <c r="J2" s="26">
        <v>91</v>
      </c>
      <c r="K2" s="26">
        <v>70</v>
      </c>
      <c r="L2" s="26">
        <v>0.879</v>
      </c>
      <c r="M2" s="26">
        <v>289</v>
      </c>
      <c r="N2" s="26">
        <v>47</v>
      </c>
      <c r="O2" s="26">
        <v>161</v>
      </c>
    </row>
    <row r="3" spans="1:15" x14ac:dyDescent="0.3">
      <c r="A3" s="26" t="s">
        <v>43</v>
      </c>
      <c r="B3" s="26">
        <v>2025</v>
      </c>
      <c r="C3" s="26" t="s">
        <v>0</v>
      </c>
      <c r="D3" s="26">
        <v>76</v>
      </c>
      <c r="E3" s="26">
        <v>7</v>
      </c>
      <c r="F3" s="26">
        <v>1841</v>
      </c>
      <c r="G3" s="26">
        <v>1</v>
      </c>
      <c r="H3" s="26">
        <v>880</v>
      </c>
      <c r="I3" s="26">
        <v>30.5</v>
      </c>
      <c r="J3" s="26">
        <v>91</v>
      </c>
      <c r="K3" s="26">
        <v>77</v>
      </c>
      <c r="L3" s="26">
        <v>0.875</v>
      </c>
      <c r="M3" s="26">
        <v>561</v>
      </c>
      <c r="N3" s="26">
        <v>13.5</v>
      </c>
      <c r="O3" s="26">
        <v>218</v>
      </c>
    </row>
    <row r="4" spans="1:15" x14ac:dyDescent="0.3">
      <c r="A4" s="26" t="s">
        <v>44</v>
      </c>
      <c r="B4" s="26">
        <v>2025</v>
      </c>
      <c r="C4" s="26" t="s">
        <v>0</v>
      </c>
      <c r="D4" s="26">
        <v>58</v>
      </c>
      <c r="E4" s="26">
        <v>143</v>
      </c>
      <c r="F4" s="26">
        <v>732</v>
      </c>
      <c r="G4" s="26">
        <v>63</v>
      </c>
      <c r="H4" s="26">
        <v>297</v>
      </c>
      <c r="I4" s="26">
        <v>138</v>
      </c>
      <c r="J4" s="26">
        <v>56</v>
      </c>
      <c r="K4" s="26">
        <v>130</v>
      </c>
      <c r="L4" s="26">
        <v>0.83399999999999996</v>
      </c>
      <c r="M4" s="26">
        <v>145</v>
      </c>
      <c r="N4" s="26">
        <v>109.5</v>
      </c>
      <c r="O4" s="26">
        <v>113</v>
      </c>
    </row>
    <row r="5" spans="1:15" x14ac:dyDescent="0.3">
      <c r="A5" s="26" t="s">
        <v>49</v>
      </c>
      <c r="B5" s="26">
        <v>2025</v>
      </c>
      <c r="C5" s="26" t="s">
        <v>1</v>
      </c>
      <c r="D5" s="26">
        <v>69</v>
      </c>
      <c r="E5" s="26">
        <v>46</v>
      </c>
      <c r="F5" s="26">
        <v>1327</v>
      </c>
      <c r="G5" s="26">
        <v>32</v>
      </c>
      <c r="H5" s="26">
        <v>369</v>
      </c>
      <c r="I5" s="26">
        <v>46.5</v>
      </c>
      <c r="J5" s="26">
        <v>80</v>
      </c>
      <c r="K5" s="26">
        <v>49.5</v>
      </c>
      <c r="L5" s="26">
        <v>0.89400000000000002</v>
      </c>
      <c r="M5" s="26">
        <v>198</v>
      </c>
      <c r="N5" s="26">
        <v>43.5</v>
      </c>
      <c r="O5" s="26">
        <v>164</v>
      </c>
    </row>
    <row r="6" spans="1:15" x14ac:dyDescent="0.3">
      <c r="A6" s="26" t="s">
        <v>50</v>
      </c>
      <c r="B6" s="26">
        <v>2025</v>
      </c>
      <c r="C6" s="26" t="s">
        <v>1</v>
      </c>
      <c r="D6" s="26">
        <v>70</v>
      </c>
      <c r="E6" s="26">
        <v>40</v>
      </c>
      <c r="F6" s="26">
        <v>1348</v>
      </c>
      <c r="G6" s="26">
        <v>46.5</v>
      </c>
      <c r="H6" s="26">
        <v>337</v>
      </c>
      <c r="I6" s="26">
        <v>121</v>
      </c>
      <c r="J6" s="26">
        <v>60</v>
      </c>
      <c r="K6" s="26">
        <v>40.5</v>
      </c>
      <c r="L6" s="26">
        <v>0.90200000000000002</v>
      </c>
      <c r="M6" s="26">
        <v>194</v>
      </c>
      <c r="N6" s="26">
        <v>17</v>
      </c>
      <c r="O6" s="26">
        <v>215</v>
      </c>
    </row>
    <row r="7" spans="1:15" x14ac:dyDescent="0.3">
      <c r="A7" s="26" t="s">
        <v>45</v>
      </c>
      <c r="B7" s="26">
        <v>2025</v>
      </c>
      <c r="C7" s="26" t="s">
        <v>2</v>
      </c>
      <c r="D7" s="26">
        <v>80</v>
      </c>
      <c r="E7" s="26">
        <v>158</v>
      </c>
      <c r="F7" s="26">
        <v>688</v>
      </c>
      <c r="G7" s="26">
        <v>274</v>
      </c>
      <c r="H7" s="26">
        <v>79</v>
      </c>
      <c r="I7" s="26">
        <v>289.5</v>
      </c>
      <c r="J7" s="26">
        <v>29</v>
      </c>
      <c r="K7" s="26">
        <v>180.5</v>
      </c>
      <c r="L7" s="26">
        <v>0.81499999999999995</v>
      </c>
      <c r="M7" s="26">
        <v>108</v>
      </c>
      <c r="N7" s="26">
        <v>145.5</v>
      </c>
      <c r="O7" s="26">
        <v>96</v>
      </c>
    </row>
    <row r="8" spans="1:15" x14ac:dyDescent="0.3">
      <c r="A8" s="26" t="s">
        <v>46</v>
      </c>
      <c r="B8" s="26">
        <v>2025</v>
      </c>
      <c r="C8" s="26" t="s">
        <v>2</v>
      </c>
      <c r="D8" s="26">
        <v>72</v>
      </c>
      <c r="E8" s="26">
        <v>84</v>
      </c>
      <c r="F8" s="26">
        <v>1005</v>
      </c>
      <c r="G8" s="26">
        <v>154.5</v>
      </c>
      <c r="H8" s="26">
        <v>145</v>
      </c>
      <c r="I8" s="26">
        <v>164</v>
      </c>
      <c r="J8" s="26">
        <v>50</v>
      </c>
      <c r="K8" s="26">
        <v>37.5</v>
      </c>
      <c r="L8" s="26">
        <v>0.90500000000000003</v>
      </c>
      <c r="M8" s="26">
        <v>74</v>
      </c>
      <c r="N8" s="26">
        <v>15.5</v>
      </c>
      <c r="O8" s="26">
        <v>216</v>
      </c>
    </row>
    <row r="9" spans="1:15" x14ac:dyDescent="0.3">
      <c r="A9" s="26" t="s">
        <v>47</v>
      </c>
      <c r="B9" s="26">
        <v>2025</v>
      </c>
      <c r="C9" s="26" t="s">
        <v>2</v>
      </c>
      <c r="D9" s="26">
        <v>20</v>
      </c>
      <c r="E9" s="26">
        <v>353</v>
      </c>
      <c r="F9" s="26">
        <v>205</v>
      </c>
      <c r="G9" s="26">
        <v>304.5</v>
      </c>
      <c r="H9" s="26">
        <v>65</v>
      </c>
      <c r="I9" s="26">
        <v>239</v>
      </c>
      <c r="J9" s="26">
        <v>37</v>
      </c>
      <c r="K9" s="26">
        <v>152</v>
      </c>
      <c r="L9" s="26">
        <v>0.82499999999999996</v>
      </c>
      <c r="M9" s="26">
        <v>40</v>
      </c>
      <c r="N9" s="26">
        <v>333</v>
      </c>
      <c r="O9" s="26">
        <v>22</v>
      </c>
    </row>
    <row r="10" spans="1:15" x14ac:dyDescent="0.3">
      <c r="A10" s="26" t="s">
        <v>48</v>
      </c>
      <c r="B10" s="26">
        <v>2025</v>
      </c>
      <c r="C10" s="26" t="s">
        <v>2</v>
      </c>
      <c r="D10" s="26">
        <v>72</v>
      </c>
      <c r="E10" s="26">
        <v>56</v>
      </c>
      <c r="F10" s="26">
        <v>1219</v>
      </c>
      <c r="G10" s="26">
        <v>68</v>
      </c>
      <c r="H10" s="26">
        <v>281</v>
      </c>
      <c r="I10" s="26">
        <v>74.5</v>
      </c>
      <c r="J10" s="26">
        <v>71</v>
      </c>
      <c r="K10" s="26">
        <v>250.5</v>
      </c>
      <c r="L10" s="26">
        <v>0.78</v>
      </c>
      <c r="M10" s="26">
        <v>372</v>
      </c>
      <c r="N10" s="26">
        <v>93</v>
      </c>
      <c r="O10" s="26">
        <v>125</v>
      </c>
    </row>
    <row r="11" spans="1:15" x14ac:dyDescent="0.3">
      <c r="A11" s="26" t="s">
        <v>40</v>
      </c>
      <c r="B11" s="26">
        <v>2025</v>
      </c>
      <c r="C11" s="26" t="s">
        <v>3</v>
      </c>
      <c r="D11" s="26">
        <v>73</v>
      </c>
      <c r="E11" s="26">
        <v>85</v>
      </c>
      <c r="F11" s="26">
        <v>1002</v>
      </c>
      <c r="G11" s="26">
        <v>133</v>
      </c>
      <c r="H11" s="26">
        <v>162</v>
      </c>
      <c r="I11" s="26">
        <v>63</v>
      </c>
      <c r="J11" s="26">
        <v>74</v>
      </c>
      <c r="K11" s="26">
        <v>91.5</v>
      </c>
      <c r="L11" s="26">
        <v>0.86099999999999999</v>
      </c>
      <c r="M11" s="26">
        <v>166</v>
      </c>
      <c r="N11" s="26">
        <v>153</v>
      </c>
      <c r="O11" s="26">
        <v>91</v>
      </c>
    </row>
    <row r="12" spans="1:15" x14ac:dyDescent="0.3">
      <c r="A12" s="26" t="s">
        <v>41</v>
      </c>
      <c r="B12" s="26">
        <v>2025</v>
      </c>
      <c r="C12" s="26" t="s">
        <v>3</v>
      </c>
      <c r="D12" s="26">
        <v>69</v>
      </c>
      <c r="E12" s="26">
        <v>50</v>
      </c>
      <c r="F12" s="26">
        <v>1288</v>
      </c>
      <c r="G12" s="26">
        <v>54</v>
      </c>
      <c r="H12" s="26">
        <v>323</v>
      </c>
      <c r="I12" s="26">
        <v>181</v>
      </c>
      <c r="J12" s="26">
        <v>47</v>
      </c>
      <c r="K12" s="26">
        <v>205</v>
      </c>
      <c r="L12" s="26">
        <v>0.80600000000000005</v>
      </c>
      <c r="M12" s="26">
        <v>335</v>
      </c>
      <c r="N12" s="26">
        <v>120</v>
      </c>
      <c r="O12" s="26">
        <v>108</v>
      </c>
    </row>
    <row r="13" spans="1:15" x14ac:dyDescent="0.3">
      <c r="A13" s="26" t="s">
        <v>38</v>
      </c>
      <c r="B13" s="26">
        <v>2025</v>
      </c>
      <c r="C13" s="26" t="s">
        <v>4</v>
      </c>
      <c r="D13" s="26">
        <v>81</v>
      </c>
      <c r="E13" s="26">
        <v>110</v>
      </c>
      <c r="F13" s="26">
        <v>843</v>
      </c>
      <c r="G13" s="26">
        <v>129</v>
      </c>
      <c r="H13" s="26">
        <v>164</v>
      </c>
      <c r="I13" s="26">
        <v>239</v>
      </c>
      <c r="J13" s="26">
        <v>37</v>
      </c>
      <c r="K13" s="26">
        <v>70</v>
      </c>
      <c r="L13" s="26">
        <v>0.879</v>
      </c>
      <c r="M13" s="26">
        <v>165</v>
      </c>
      <c r="N13" s="26">
        <v>411.5</v>
      </c>
      <c r="O13" s="26">
        <v>8</v>
      </c>
    </row>
    <row r="14" spans="1:15" x14ac:dyDescent="0.3">
      <c r="A14" s="26" t="s">
        <v>39</v>
      </c>
      <c r="B14" s="26">
        <v>2025</v>
      </c>
      <c r="C14" s="26" t="s">
        <v>4</v>
      </c>
      <c r="D14" s="26">
        <v>78</v>
      </c>
      <c r="E14" s="26">
        <v>32</v>
      </c>
      <c r="F14" s="26">
        <v>1410</v>
      </c>
      <c r="G14" s="26">
        <v>46.5</v>
      </c>
      <c r="H14" s="26">
        <v>337</v>
      </c>
      <c r="I14" s="26">
        <v>19.5</v>
      </c>
      <c r="J14" s="26">
        <v>98</v>
      </c>
      <c r="K14" s="26">
        <v>282.5</v>
      </c>
      <c r="L14" s="26">
        <v>0.76500000000000001</v>
      </c>
      <c r="M14" s="26">
        <v>328</v>
      </c>
      <c r="N14" s="26">
        <v>181</v>
      </c>
      <c r="O14" s="26">
        <v>79</v>
      </c>
    </row>
    <row r="15" spans="1:15" x14ac:dyDescent="0.3">
      <c r="D15" s="27">
        <f>AVERAGE(D2:D14)</f>
        <v>66.92307692307692</v>
      </c>
      <c r="E15" s="28">
        <f>AVERAGE(E2:E14)</f>
        <v>92.384615384615387</v>
      </c>
      <c r="F15" s="26">
        <f>SUM(F2:F14)</f>
        <v>14277</v>
      </c>
      <c r="G15" s="28">
        <f>AVERAGE(G2:G14)</f>
        <v>104.76923076923077</v>
      </c>
      <c r="H15" s="26">
        <f>SUM(H2:H14)</f>
        <v>3756</v>
      </c>
      <c r="I15" s="28">
        <f>AVERAGE(I2:I14)</f>
        <v>125.84615384615384</v>
      </c>
      <c r="J15" s="26">
        <f>SUM(J2:J14)</f>
        <v>821</v>
      </c>
      <c r="L15" s="29">
        <f>SUMPRODUCT(L2:L14,M2:M14)/SUM(M2:M14)</f>
        <v>0.84197546218487396</v>
      </c>
      <c r="N15" s="28">
        <f>AVERAGE(N2:N14)</f>
        <v>129.46153846153845</v>
      </c>
      <c r="O15" s="26">
        <f>SUM(O2:O14)</f>
        <v>1616</v>
      </c>
    </row>
    <row r="18" spans="1:15" ht="21" x14ac:dyDescent="0.3">
      <c r="A18" s="25" t="s">
        <v>23</v>
      </c>
      <c r="B18" s="25" t="s">
        <v>24</v>
      </c>
      <c r="C18" s="25" t="s">
        <v>25</v>
      </c>
      <c r="D18" s="25" t="s">
        <v>26</v>
      </c>
      <c r="E18" s="25" t="s">
        <v>27</v>
      </c>
      <c r="F18" s="25" t="s">
        <v>28</v>
      </c>
      <c r="G18" s="25" t="s">
        <v>29</v>
      </c>
      <c r="H18" s="25" t="s">
        <v>30</v>
      </c>
      <c r="I18" s="25" t="s">
        <v>31</v>
      </c>
      <c r="J18" s="25" t="s">
        <v>32</v>
      </c>
      <c r="K18" s="25" t="s">
        <v>33</v>
      </c>
      <c r="L18" s="25" t="s">
        <v>34</v>
      </c>
      <c r="M18" s="25" t="s">
        <v>35</v>
      </c>
      <c r="N18" s="25" t="s">
        <v>36</v>
      </c>
      <c r="O18" s="25" t="s">
        <v>37</v>
      </c>
    </row>
    <row r="19" spans="1:15" x14ac:dyDescent="0.3">
      <c r="A19" s="26" t="s">
        <v>43</v>
      </c>
      <c r="B19" s="26">
        <v>2025</v>
      </c>
      <c r="C19" s="26" t="s">
        <v>0</v>
      </c>
      <c r="D19" s="26">
        <v>76</v>
      </c>
      <c r="E19" s="26">
        <v>7</v>
      </c>
      <c r="F19" s="26">
        <v>1841</v>
      </c>
      <c r="G19" s="26">
        <v>1</v>
      </c>
      <c r="H19" s="26">
        <v>880</v>
      </c>
      <c r="I19" s="26">
        <v>30.5</v>
      </c>
      <c r="J19" s="26">
        <v>91</v>
      </c>
      <c r="K19" s="26">
        <v>77</v>
      </c>
      <c r="L19" s="26">
        <v>0.875</v>
      </c>
      <c r="M19" s="26">
        <v>561</v>
      </c>
      <c r="N19" s="26">
        <v>13.5</v>
      </c>
      <c r="O19" s="26">
        <v>218</v>
      </c>
    </row>
    <row r="20" spans="1:15" x14ac:dyDescent="0.3">
      <c r="A20" s="25" t="s">
        <v>53</v>
      </c>
      <c r="B20" s="26">
        <v>2025</v>
      </c>
      <c r="C20" s="26" t="s">
        <v>0</v>
      </c>
      <c r="D20" s="26">
        <v>47</v>
      </c>
      <c r="E20" s="26">
        <v>60</v>
      </c>
      <c r="F20" s="26">
        <v>1184</v>
      </c>
      <c r="G20" s="26">
        <v>44</v>
      </c>
      <c r="H20" s="26">
        <v>346</v>
      </c>
      <c r="I20" s="26">
        <v>145.5</v>
      </c>
      <c r="J20" s="26">
        <v>54</v>
      </c>
      <c r="K20" s="26">
        <v>117.5</v>
      </c>
      <c r="L20" s="26">
        <v>0.84299999999999997</v>
      </c>
      <c r="M20" s="26">
        <v>229</v>
      </c>
      <c r="N20" s="26">
        <v>29</v>
      </c>
      <c r="O20" s="26">
        <v>179</v>
      </c>
    </row>
    <row r="21" spans="1:15" x14ac:dyDescent="0.3">
      <c r="A21" s="26" t="s">
        <v>44</v>
      </c>
      <c r="B21" s="26">
        <v>2025</v>
      </c>
      <c r="C21" s="26" t="s">
        <v>0</v>
      </c>
      <c r="D21" s="26">
        <v>58</v>
      </c>
      <c r="E21" s="26">
        <v>143</v>
      </c>
      <c r="F21" s="26">
        <v>732</v>
      </c>
      <c r="G21" s="26">
        <v>63</v>
      </c>
      <c r="H21" s="26">
        <v>297</v>
      </c>
      <c r="I21" s="26">
        <v>138</v>
      </c>
      <c r="J21" s="26">
        <v>56</v>
      </c>
      <c r="K21" s="26">
        <v>130</v>
      </c>
      <c r="L21" s="26">
        <v>0.83399999999999996</v>
      </c>
      <c r="M21" s="26">
        <v>145</v>
      </c>
      <c r="N21" s="26">
        <v>109.5</v>
      </c>
      <c r="O21" s="26">
        <v>113</v>
      </c>
    </row>
    <row r="22" spans="1:15" x14ac:dyDescent="0.3">
      <c r="A22" s="26" t="s">
        <v>55</v>
      </c>
      <c r="B22" s="26">
        <v>2025</v>
      </c>
      <c r="C22" s="26" t="s">
        <v>1</v>
      </c>
      <c r="D22" s="26">
        <v>50</v>
      </c>
      <c r="E22" s="26">
        <v>54</v>
      </c>
      <c r="F22" s="26">
        <v>1234</v>
      </c>
      <c r="G22" s="26">
        <v>81</v>
      </c>
      <c r="H22" s="26">
        <v>231</v>
      </c>
      <c r="I22" s="26">
        <v>97.5</v>
      </c>
      <c r="J22" s="26">
        <v>66</v>
      </c>
      <c r="K22" s="26">
        <v>32</v>
      </c>
      <c r="L22" s="26">
        <v>0.91600000000000004</v>
      </c>
      <c r="M22" s="26">
        <v>214</v>
      </c>
      <c r="N22" s="26">
        <v>67</v>
      </c>
      <c r="O22" s="26">
        <v>144</v>
      </c>
    </row>
    <row r="23" spans="1:15" x14ac:dyDescent="0.3">
      <c r="A23" s="26" t="s">
        <v>49</v>
      </c>
      <c r="B23" s="26">
        <v>2025</v>
      </c>
      <c r="C23" s="26" t="s">
        <v>1</v>
      </c>
      <c r="D23" s="26">
        <v>69</v>
      </c>
      <c r="E23" s="26">
        <v>46</v>
      </c>
      <c r="F23" s="26">
        <v>1327</v>
      </c>
      <c r="G23" s="26">
        <v>32</v>
      </c>
      <c r="H23" s="26">
        <v>369</v>
      </c>
      <c r="I23" s="26">
        <v>46.5</v>
      </c>
      <c r="J23" s="26">
        <v>80</v>
      </c>
      <c r="K23" s="26">
        <v>49.5</v>
      </c>
      <c r="L23" s="26">
        <v>0.89400000000000002</v>
      </c>
      <c r="M23" s="26">
        <v>198</v>
      </c>
      <c r="N23" s="26">
        <v>43.5</v>
      </c>
      <c r="O23" s="26">
        <v>164</v>
      </c>
    </row>
    <row r="24" spans="1:15" x14ac:dyDescent="0.3">
      <c r="A24" s="26" t="s">
        <v>50</v>
      </c>
      <c r="B24" s="26">
        <v>2025</v>
      </c>
      <c r="C24" s="26" t="s">
        <v>1</v>
      </c>
      <c r="D24" s="26">
        <v>70</v>
      </c>
      <c r="E24" s="26">
        <v>40</v>
      </c>
      <c r="F24" s="26">
        <v>1348</v>
      </c>
      <c r="G24" s="26">
        <v>46.5</v>
      </c>
      <c r="H24" s="26">
        <v>337</v>
      </c>
      <c r="I24" s="26">
        <v>121</v>
      </c>
      <c r="J24" s="26">
        <v>60</v>
      </c>
      <c r="K24" s="26">
        <v>40.5</v>
      </c>
      <c r="L24" s="26">
        <v>0.90200000000000002</v>
      </c>
      <c r="M24" s="26">
        <v>194</v>
      </c>
      <c r="N24" s="26">
        <v>17</v>
      </c>
      <c r="O24" s="26">
        <v>215</v>
      </c>
    </row>
    <row r="25" spans="1:15" x14ac:dyDescent="0.3">
      <c r="A25" s="26" t="s">
        <v>54</v>
      </c>
      <c r="B25" s="26">
        <v>2025</v>
      </c>
      <c r="C25" s="26" t="s">
        <v>2</v>
      </c>
      <c r="D25" s="26">
        <v>74</v>
      </c>
      <c r="E25" s="26">
        <v>12</v>
      </c>
      <c r="F25" s="26">
        <v>1724</v>
      </c>
      <c r="G25" s="26">
        <v>59</v>
      </c>
      <c r="H25" s="26">
        <v>310</v>
      </c>
      <c r="I25" s="26">
        <v>130.5</v>
      </c>
      <c r="J25" s="26">
        <v>58</v>
      </c>
      <c r="K25" s="26">
        <v>152</v>
      </c>
      <c r="L25" s="26">
        <v>0.82499999999999996</v>
      </c>
      <c r="M25" s="26">
        <v>285</v>
      </c>
      <c r="N25" s="26">
        <v>8</v>
      </c>
      <c r="O25" s="26">
        <v>239</v>
      </c>
    </row>
    <row r="26" spans="1:15" x14ac:dyDescent="0.3">
      <c r="A26" s="26" t="s">
        <v>46</v>
      </c>
      <c r="B26" s="26">
        <v>2025</v>
      </c>
      <c r="C26" s="26" t="s">
        <v>2</v>
      </c>
      <c r="D26" s="26">
        <v>72</v>
      </c>
      <c r="E26" s="26">
        <v>84</v>
      </c>
      <c r="F26" s="26">
        <v>1005</v>
      </c>
      <c r="G26" s="26">
        <v>154.5</v>
      </c>
      <c r="H26" s="26">
        <v>145</v>
      </c>
      <c r="I26" s="26">
        <v>164</v>
      </c>
      <c r="J26" s="26">
        <v>50</v>
      </c>
      <c r="K26" s="26">
        <v>37.5</v>
      </c>
      <c r="L26" s="26">
        <v>0.90500000000000003</v>
      </c>
      <c r="M26" s="26">
        <v>74</v>
      </c>
      <c r="N26" s="26">
        <v>15.5</v>
      </c>
      <c r="O26" s="26">
        <v>216</v>
      </c>
    </row>
    <row r="27" spans="1:15" x14ac:dyDescent="0.3">
      <c r="A27" s="26" t="s">
        <v>47</v>
      </c>
      <c r="B27" s="26">
        <v>2025</v>
      </c>
      <c r="C27" s="26" t="s">
        <v>2</v>
      </c>
      <c r="D27" s="26">
        <v>20</v>
      </c>
      <c r="E27" s="26">
        <v>353</v>
      </c>
      <c r="F27" s="26">
        <v>205</v>
      </c>
      <c r="G27" s="26">
        <v>304.5</v>
      </c>
      <c r="H27" s="26">
        <v>65</v>
      </c>
      <c r="I27" s="26">
        <v>239</v>
      </c>
      <c r="J27" s="26">
        <v>37</v>
      </c>
      <c r="K27" s="26">
        <v>152</v>
      </c>
      <c r="L27" s="26">
        <v>0.82499999999999996</v>
      </c>
      <c r="M27" s="26">
        <v>40</v>
      </c>
      <c r="N27" s="26">
        <v>333</v>
      </c>
      <c r="O27" s="26">
        <v>22</v>
      </c>
    </row>
    <row r="28" spans="1:15" x14ac:dyDescent="0.3">
      <c r="A28" s="26" t="s">
        <v>48</v>
      </c>
      <c r="B28" s="26">
        <v>2025</v>
      </c>
      <c r="C28" s="26" t="s">
        <v>2</v>
      </c>
      <c r="D28" s="26">
        <v>72</v>
      </c>
      <c r="E28" s="26">
        <v>56</v>
      </c>
      <c r="F28" s="26">
        <v>1219</v>
      </c>
      <c r="G28" s="26">
        <v>68</v>
      </c>
      <c r="H28" s="26">
        <v>281</v>
      </c>
      <c r="I28" s="26">
        <v>74.5</v>
      </c>
      <c r="J28" s="26">
        <v>71</v>
      </c>
      <c r="K28" s="26">
        <v>250.5</v>
      </c>
      <c r="L28" s="26">
        <v>0.78</v>
      </c>
      <c r="M28" s="26">
        <v>372</v>
      </c>
      <c r="N28" s="26">
        <v>93</v>
      </c>
      <c r="O28" s="26">
        <v>125</v>
      </c>
    </row>
    <row r="29" spans="1:15" x14ac:dyDescent="0.3">
      <c r="A29" s="26" t="s">
        <v>52</v>
      </c>
      <c r="B29" s="26">
        <v>2025</v>
      </c>
      <c r="C29" s="26" t="s">
        <v>3</v>
      </c>
      <c r="D29" s="26">
        <v>49</v>
      </c>
      <c r="E29" s="26">
        <v>163.5</v>
      </c>
      <c r="F29" s="26">
        <v>680</v>
      </c>
      <c r="G29" s="26">
        <v>222.5</v>
      </c>
      <c r="H29" s="26">
        <v>104</v>
      </c>
      <c r="I29" s="26">
        <v>255</v>
      </c>
      <c r="J29" s="26">
        <v>35</v>
      </c>
      <c r="K29" s="26">
        <v>128</v>
      </c>
      <c r="L29" s="26">
        <v>0.83599999999999997</v>
      </c>
      <c r="M29" s="26">
        <v>73</v>
      </c>
      <c r="N29" s="26">
        <v>210.5</v>
      </c>
      <c r="O29" s="26">
        <v>65</v>
      </c>
    </row>
    <row r="30" spans="1:15" x14ac:dyDescent="0.3">
      <c r="A30" s="26" t="s">
        <v>51</v>
      </c>
      <c r="B30" s="26">
        <v>2025</v>
      </c>
      <c r="C30" s="26" t="s">
        <v>4</v>
      </c>
      <c r="D30" s="26">
        <v>74</v>
      </c>
      <c r="E30" s="26">
        <v>88</v>
      </c>
      <c r="F30" s="26">
        <v>988</v>
      </c>
      <c r="G30" s="26">
        <v>122.5</v>
      </c>
      <c r="H30" s="26">
        <v>168</v>
      </c>
      <c r="I30" s="26">
        <v>85.5</v>
      </c>
      <c r="J30" s="26">
        <v>69</v>
      </c>
      <c r="K30" s="26">
        <v>296.5</v>
      </c>
      <c r="L30" s="26">
        <v>0.75900000000000001</v>
      </c>
      <c r="M30" s="26">
        <v>216</v>
      </c>
      <c r="N30" s="26">
        <v>248</v>
      </c>
      <c r="O30" s="26">
        <v>48</v>
      </c>
    </row>
    <row r="31" spans="1:15" x14ac:dyDescent="0.3">
      <c r="A31" s="26" t="s">
        <v>39</v>
      </c>
      <c r="B31" s="26">
        <v>2025</v>
      </c>
      <c r="C31" s="26" t="s">
        <v>4</v>
      </c>
      <c r="D31" s="26">
        <v>78</v>
      </c>
      <c r="E31" s="26">
        <v>32</v>
      </c>
      <c r="F31" s="26">
        <v>1410</v>
      </c>
      <c r="G31" s="26">
        <v>46.5</v>
      </c>
      <c r="H31" s="26">
        <v>337</v>
      </c>
      <c r="I31" s="26">
        <v>19.5</v>
      </c>
      <c r="J31" s="26">
        <v>98</v>
      </c>
      <c r="K31" s="26">
        <v>282.5</v>
      </c>
      <c r="L31" s="26">
        <v>0.76500000000000001</v>
      </c>
      <c r="M31" s="26">
        <v>328</v>
      </c>
      <c r="N31" s="26">
        <v>181</v>
      </c>
      <c r="O31" s="26">
        <v>79</v>
      </c>
    </row>
    <row r="32" spans="1:15" x14ac:dyDescent="0.3">
      <c r="D32" s="27">
        <f>AVERAGE(D19:D31)</f>
        <v>62.230769230769234</v>
      </c>
      <c r="E32" s="28">
        <f>AVERAGE(E19:E31)</f>
        <v>87.57692307692308</v>
      </c>
      <c r="F32" s="26">
        <f>SUM(F19:F31)</f>
        <v>14897</v>
      </c>
      <c r="G32" s="28">
        <f>AVERAGE(G19:G31)</f>
        <v>95.769230769230774</v>
      </c>
      <c r="H32" s="26">
        <f>SUM(H19:H31)</f>
        <v>3870</v>
      </c>
      <c r="I32" s="28">
        <f>AVERAGE(I19:I31)</f>
        <v>119</v>
      </c>
      <c r="J32" s="26">
        <f>SUM(J19:J31)</f>
        <v>825</v>
      </c>
      <c r="L32" s="29">
        <f>SUMPRODUCT(L19:L31,M19:M31)/SUM(M19:M31)</f>
        <v>0.83783646295664049</v>
      </c>
      <c r="N32" s="28">
        <f>AVERAGE(N19:N31)</f>
        <v>105.26923076923077</v>
      </c>
      <c r="O32" s="26">
        <f>SUM(O19:O31)</f>
        <v>1827</v>
      </c>
    </row>
    <row r="36" spans="1:15" ht="21" x14ac:dyDescent="0.3">
      <c r="A36" s="25" t="s">
        <v>23</v>
      </c>
      <c r="B36" s="25" t="s">
        <v>24</v>
      </c>
      <c r="C36" s="25" t="s">
        <v>25</v>
      </c>
      <c r="D36" s="25" t="s">
        <v>26</v>
      </c>
      <c r="E36" s="25" t="s">
        <v>27</v>
      </c>
      <c r="F36" s="25" t="s">
        <v>28</v>
      </c>
      <c r="G36" s="25" t="s">
        <v>29</v>
      </c>
      <c r="H36" s="25" t="s">
        <v>30</v>
      </c>
      <c r="I36" s="25" t="s">
        <v>31</v>
      </c>
      <c r="J36" s="25" t="s">
        <v>32</v>
      </c>
      <c r="K36" s="25" t="s">
        <v>33</v>
      </c>
      <c r="L36" s="25" t="s">
        <v>34</v>
      </c>
      <c r="M36" s="25" t="s">
        <v>35</v>
      </c>
      <c r="N36" s="25" t="s">
        <v>36</v>
      </c>
      <c r="O36" s="25" t="s">
        <v>37</v>
      </c>
    </row>
    <row r="37" spans="1:15" x14ac:dyDescent="0.3">
      <c r="A37" s="26" t="s">
        <v>43</v>
      </c>
      <c r="B37" s="26">
        <v>2025</v>
      </c>
      <c r="C37" s="26" t="s">
        <v>0</v>
      </c>
      <c r="D37" s="26">
        <v>76</v>
      </c>
      <c r="E37" s="26">
        <v>7</v>
      </c>
      <c r="F37" s="26">
        <v>1841</v>
      </c>
      <c r="G37" s="26">
        <v>1</v>
      </c>
      <c r="H37" s="26">
        <v>880</v>
      </c>
      <c r="I37" s="26">
        <v>30.5</v>
      </c>
      <c r="J37" s="26">
        <v>91</v>
      </c>
      <c r="K37" s="26">
        <v>77</v>
      </c>
      <c r="L37" s="26">
        <v>0.875</v>
      </c>
      <c r="M37" s="26">
        <v>561</v>
      </c>
      <c r="N37" s="26">
        <v>13.5</v>
      </c>
      <c r="O37" s="26">
        <v>218</v>
      </c>
    </row>
    <row r="38" spans="1:15" x14ac:dyDescent="0.3">
      <c r="A38" s="25" t="s">
        <v>42</v>
      </c>
      <c r="B38" s="26">
        <v>2025</v>
      </c>
      <c r="C38" s="26" t="s">
        <v>0</v>
      </c>
      <c r="D38" s="26">
        <v>52</v>
      </c>
      <c r="E38" s="26">
        <v>37</v>
      </c>
      <c r="F38" s="26">
        <v>1369</v>
      </c>
      <c r="G38" s="26">
        <v>56</v>
      </c>
      <c r="H38" s="26">
        <v>317</v>
      </c>
      <c r="I38" s="26">
        <v>30.5</v>
      </c>
      <c r="J38" s="26">
        <v>91</v>
      </c>
      <c r="K38" s="26">
        <v>70</v>
      </c>
      <c r="L38" s="26">
        <v>0.879</v>
      </c>
      <c r="M38" s="26">
        <v>289</v>
      </c>
      <c r="N38" s="26">
        <v>47</v>
      </c>
      <c r="O38" s="26">
        <v>161</v>
      </c>
    </row>
    <row r="39" spans="1:15" x14ac:dyDescent="0.3">
      <c r="A39" s="26" t="s">
        <v>44</v>
      </c>
      <c r="B39" s="26">
        <v>2025</v>
      </c>
      <c r="C39" s="26" t="s">
        <v>0</v>
      </c>
      <c r="D39" s="26">
        <v>58</v>
      </c>
      <c r="E39" s="26">
        <v>143</v>
      </c>
      <c r="F39" s="26">
        <v>732</v>
      </c>
      <c r="G39" s="26">
        <v>63</v>
      </c>
      <c r="H39" s="26">
        <v>297</v>
      </c>
      <c r="I39" s="26">
        <v>138</v>
      </c>
      <c r="J39" s="26">
        <v>56</v>
      </c>
      <c r="K39" s="26">
        <v>130</v>
      </c>
      <c r="L39" s="26">
        <v>0.83399999999999996</v>
      </c>
      <c r="M39" s="26">
        <v>145</v>
      </c>
      <c r="N39" s="26">
        <v>109.5</v>
      </c>
      <c r="O39" s="26">
        <v>113</v>
      </c>
    </row>
    <row r="40" spans="1:15" x14ac:dyDescent="0.3">
      <c r="A40" s="26" t="s">
        <v>55</v>
      </c>
      <c r="B40" s="26">
        <v>2025</v>
      </c>
      <c r="C40" s="26" t="s">
        <v>1</v>
      </c>
      <c r="D40" s="26">
        <v>50</v>
      </c>
      <c r="E40" s="26">
        <v>54</v>
      </c>
      <c r="F40" s="26">
        <v>1234</v>
      </c>
      <c r="G40" s="26">
        <v>81</v>
      </c>
      <c r="H40" s="26">
        <v>231</v>
      </c>
      <c r="I40" s="26">
        <v>97.5</v>
      </c>
      <c r="J40" s="26">
        <v>66</v>
      </c>
      <c r="K40" s="26">
        <v>32</v>
      </c>
      <c r="L40" s="26">
        <v>0.91600000000000004</v>
      </c>
      <c r="M40" s="26">
        <v>214</v>
      </c>
      <c r="N40" s="26">
        <v>67</v>
      </c>
      <c r="O40" s="26">
        <v>144</v>
      </c>
    </row>
    <row r="41" spans="1:15" x14ac:dyDescent="0.3">
      <c r="A41" s="26" t="s">
        <v>49</v>
      </c>
      <c r="B41" s="26">
        <v>2025</v>
      </c>
      <c r="C41" s="26" t="s">
        <v>1</v>
      </c>
      <c r="D41" s="26">
        <v>69</v>
      </c>
      <c r="E41" s="26">
        <v>46</v>
      </c>
      <c r="F41" s="26">
        <v>1327</v>
      </c>
      <c r="G41" s="26">
        <v>32</v>
      </c>
      <c r="H41" s="26">
        <v>369</v>
      </c>
      <c r="I41" s="26">
        <v>46.5</v>
      </c>
      <c r="J41" s="26">
        <v>80</v>
      </c>
      <c r="K41" s="26">
        <v>49.5</v>
      </c>
      <c r="L41" s="26">
        <v>0.89400000000000002</v>
      </c>
      <c r="M41" s="26">
        <v>198</v>
      </c>
      <c r="N41" s="26">
        <v>43.5</v>
      </c>
      <c r="O41" s="26">
        <v>164</v>
      </c>
    </row>
    <row r="42" spans="1:15" x14ac:dyDescent="0.3">
      <c r="A42" s="26" t="s">
        <v>50</v>
      </c>
      <c r="B42" s="26">
        <v>2025</v>
      </c>
      <c r="C42" s="26" t="s">
        <v>1</v>
      </c>
      <c r="D42" s="26">
        <v>70</v>
      </c>
      <c r="E42" s="26">
        <v>40</v>
      </c>
      <c r="F42" s="26">
        <v>1348</v>
      </c>
      <c r="G42" s="26">
        <v>46.5</v>
      </c>
      <c r="H42" s="26">
        <v>337</v>
      </c>
      <c r="I42" s="26">
        <v>121</v>
      </c>
      <c r="J42" s="26">
        <v>60</v>
      </c>
      <c r="K42" s="26">
        <v>40.5</v>
      </c>
      <c r="L42" s="26">
        <v>0.90200000000000002</v>
      </c>
      <c r="M42" s="26">
        <v>194</v>
      </c>
      <c r="N42" s="26">
        <v>17</v>
      </c>
      <c r="O42" s="26">
        <v>215</v>
      </c>
    </row>
    <row r="43" spans="1:15" x14ac:dyDescent="0.3">
      <c r="A43" s="26" t="s">
        <v>54</v>
      </c>
      <c r="B43" s="26">
        <v>2025</v>
      </c>
      <c r="C43" s="26" t="s">
        <v>2</v>
      </c>
      <c r="D43" s="26">
        <v>74</v>
      </c>
      <c r="E43" s="26">
        <v>12</v>
      </c>
      <c r="F43" s="26">
        <v>1724</v>
      </c>
      <c r="G43" s="26">
        <v>59</v>
      </c>
      <c r="H43" s="26">
        <v>310</v>
      </c>
      <c r="I43" s="26">
        <v>130.5</v>
      </c>
      <c r="J43" s="26">
        <v>58</v>
      </c>
      <c r="K43" s="26">
        <v>152</v>
      </c>
      <c r="L43" s="26">
        <v>0.82499999999999996</v>
      </c>
      <c r="M43" s="26">
        <v>285</v>
      </c>
      <c r="N43" s="26">
        <v>8</v>
      </c>
      <c r="O43" s="26">
        <v>239</v>
      </c>
    </row>
    <row r="44" spans="1:15" x14ac:dyDescent="0.3">
      <c r="A44" s="26" t="s">
        <v>46</v>
      </c>
      <c r="B44" s="26">
        <v>2025</v>
      </c>
      <c r="C44" s="26" t="s">
        <v>2</v>
      </c>
      <c r="D44" s="26">
        <v>72</v>
      </c>
      <c r="E44" s="26">
        <v>84</v>
      </c>
      <c r="F44" s="26">
        <v>1005</v>
      </c>
      <c r="G44" s="26">
        <v>154.5</v>
      </c>
      <c r="H44" s="26">
        <v>145</v>
      </c>
      <c r="I44" s="26">
        <v>164</v>
      </c>
      <c r="J44" s="26">
        <v>50</v>
      </c>
      <c r="K44" s="26">
        <v>37.5</v>
      </c>
      <c r="L44" s="26">
        <v>0.90500000000000003</v>
      </c>
      <c r="M44" s="26">
        <v>74</v>
      </c>
      <c r="N44" s="26">
        <v>15.5</v>
      </c>
      <c r="O44" s="26">
        <v>216</v>
      </c>
    </row>
    <row r="45" spans="1:15" x14ac:dyDescent="0.3">
      <c r="A45" s="26" t="s">
        <v>47</v>
      </c>
      <c r="B45" s="26">
        <v>2025</v>
      </c>
      <c r="C45" s="26" t="s">
        <v>2</v>
      </c>
      <c r="D45" s="26">
        <v>20</v>
      </c>
      <c r="E45" s="26">
        <v>353</v>
      </c>
      <c r="F45" s="26">
        <v>205</v>
      </c>
      <c r="G45" s="26">
        <v>304.5</v>
      </c>
      <c r="H45" s="26">
        <v>65</v>
      </c>
      <c r="I45" s="26">
        <v>239</v>
      </c>
      <c r="J45" s="26">
        <v>37</v>
      </c>
      <c r="K45" s="26">
        <v>152</v>
      </c>
      <c r="L45" s="26">
        <v>0.82499999999999996</v>
      </c>
      <c r="M45" s="26">
        <v>40</v>
      </c>
      <c r="N45" s="26">
        <v>333</v>
      </c>
      <c r="O45" s="26">
        <v>22</v>
      </c>
    </row>
    <row r="46" spans="1:15" x14ac:dyDescent="0.3">
      <c r="A46" s="26" t="s">
        <v>48</v>
      </c>
      <c r="B46" s="26">
        <v>2025</v>
      </c>
      <c r="C46" s="26" t="s">
        <v>2</v>
      </c>
      <c r="D46" s="26">
        <v>72</v>
      </c>
      <c r="E46" s="26">
        <v>56</v>
      </c>
      <c r="F46" s="26">
        <v>1219</v>
      </c>
      <c r="G46" s="26">
        <v>68</v>
      </c>
      <c r="H46" s="26">
        <v>281</v>
      </c>
      <c r="I46" s="26">
        <v>74.5</v>
      </c>
      <c r="J46" s="26">
        <v>71</v>
      </c>
      <c r="K46" s="26">
        <v>250.5</v>
      </c>
      <c r="L46" s="26">
        <v>0.78</v>
      </c>
      <c r="M46" s="26">
        <v>372</v>
      </c>
      <c r="N46" s="26">
        <v>93</v>
      </c>
      <c r="O46" s="26">
        <v>125</v>
      </c>
    </row>
    <row r="47" spans="1:15" x14ac:dyDescent="0.3">
      <c r="A47" s="26" t="s">
        <v>52</v>
      </c>
      <c r="B47" s="26">
        <v>2025</v>
      </c>
      <c r="C47" s="26" t="s">
        <v>3</v>
      </c>
      <c r="D47" s="26">
        <v>49</v>
      </c>
      <c r="E47" s="26">
        <v>163.5</v>
      </c>
      <c r="F47" s="26">
        <v>680</v>
      </c>
      <c r="G47" s="26">
        <v>222.5</v>
      </c>
      <c r="H47" s="26">
        <v>104</v>
      </c>
      <c r="I47" s="26">
        <v>255</v>
      </c>
      <c r="J47" s="26">
        <v>35</v>
      </c>
      <c r="K47" s="26">
        <v>128</v>
      </c>
      <c r="L47" s="26">
        <v>0.83599999999999997</v>
      </c>
      <c r="M47" s="26">
        <v>73</v>
      </c>
      <c r="N47" s="26">
        <v>210.5</v>
      </c>
      <c r="O47" s="26">
        <v>65</v>
      </c>
    </row>
    <row r="48" spans="1:15" x14ac:dyDescent="0.3">
      <c r="A48" s="26" t="s">
        <v>51</v>
      </c>
      <c r="B48" s="26">
        <v>2025</v>
      </c>
      <c r="C48" s="26" t="s">
        <v>4</v>
      </c>
      <c r="D48" s="26">
        <v>74</v>
      </c>
      <c r="E48" s="26">
        <v>88</v>
      </c>
      <c r="F48" s="26">
        <v>988</v>
      </c>
      <c r="G48" s="26">
        <v>122.5</v>
      </c>
      <c r="H48" s="26">
        <v>168</v>
      </c>
      <c r="I48" s="26">
        <v>85.5</v>
      </c>
      <c r="J48" s="26">
        <v>69</v>
      </c>
      <c r="K48" s="26">
        <v>296.5</v>
      </c>
      <c r="L48" s="26">
        <v>0.75900000000000001</v>
      </c>
      <c r="M48" s="26">
        <v>216</v>
      </c>
      <c r="N48" s="26">
        <v>248</v>
      </c>
      <c r="O48" s="26">
        <v>48</v>
      </c>
    </row>
    <row r="49" spans="1:15" x14ac:dyDescent="0.3">
      <c r="A49" s="26" t="s">
        <v>39</v>
      </c>
      <c r="B49" s="26">
        <v>2025</v>
      </c>
      <c r="C49" s="26" t="s">
        <v>4</v>
      </c>
      <c r="D49" s="26">
        <v>78</v>
      </c>
      <c r="E49" s="26">
        <v>32</v>
      </c>
      <c r="F49" s="26">
        <v>1410</v>
      </c>
      <c r="G49" s="26">
        <v>46.5</v>
      </c>
      <c r="H49" s="26">
        <v>337</v>
      </c>
      <c r="I49" s="26">
        <v>19.5</v>
      </c>
      <c r="J49" s="26">
        <v>98</v>
      </c>
      <c r="K49" s="26">
        <v>282.5</v>
      </c>
      <c r="L49" s="26">
        <v>0.76500000000000001</v>
      </c>
      <c r="M49" s="26">
        <v>328</v>
      </c>
      <c r="N49" s="26">
        <v>181</v>
      </c>
      <c r="O49" s="26">
        <v>79</v>
      </c>
    </row>
    <row r="50" spans="1:15" x14ac:dyDescent="0.3">
      <c r="D50" s="27">
        <f>AVERAGE(D37:D49)</f>
        <v>62.615384615384613</v>
      </c>
      <c r="E50" s="28">
        <f>AVERAGE(E37:E49)</f>
        <v>85.807692307692307</v>
      </c>
      <c r="F50" s="26">
        <f>SUM(F37:F49)</f>
        <v>15082</v>
      </c>
      <c r="G50" s="28">
        <f>AVERAGE(G37:G49)</f>
        <v>96.692307692307693</v>
      </c>
      <c r="H50" s="26">
        <f>SUM(H37:H49)</f>
        <v>3841</v>
      </c>
      <c r="I50" s="28">
        <f>AVERAGE(I37:I49)</f>
        <v>110.15384615384616</v>
      </c>
      <c r="J50" s="26">
        <f>SUM(J37:J49)</f>
        <v>862</v>
      </c>
      <c r="L50" s="29">
        <f>SUMPRODUCT(L37:L49,M37:M49)/SUM(M37:M49)</f>
        <v>0.84142087654734021</v>
      </c>
      <c r="N50" s="28">
        <f>AVERAGE(N37:N49)</f>
        <v>106.65384615384616</v>
      </c>
      <c r="O50" s="26">
        <f>SUM(O37:O49)</f>
        <v>1809</v>
      </c>
    </row>
  </sheetData>
  <conditionalFormatting sqref="G2:G14 E2:E14 I2:I14 K2:K14 N2:N1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:G31 E19:E31 I19:I31 K19:K31 N19:N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 E37 I37 K37 N37 N39:N49 K39:K49 I39:I49 E39:E49 G39:G4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8 E38 I38 K38 N3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N4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9 E37:E49 I37:I49 K37:K49 N37:N4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Sheet1</vt:lpstr>
      <vt:lpstr>ast-ft-3pt-stl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סער פרדו</dc:creator>
  <cp:lastModifiedBy>סער פרדו</cp:lastModifiedBy>
  <dcterms:created xsi:type="dcterms:W3CDTF">2015-06-05T18:17:20Z</dcterms:created>
  <dcterms:modified xsi:type="dcterms:W3CDTF">2025-08-31T15:16:00Z</dcterms:modified>
</cp:coreProperties>
</file>