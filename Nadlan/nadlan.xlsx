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730"/>
  <workbookPr/>
  <mc:AlternateContent xmlns:mc="http://schemas.openxmlformats.org/markup-compatibility/2006">
    <mc:Choice Requires="x15">
      <x15ac:absPath xmlns:x15ac="http://schemas.microsoft.com/office/spreadsheetml/2010/11/ac" url="C:\Users\saarp\Documents\GitHub\portfolio\Nadlan\"/>
    </mc:Choice>
  </mc:AlternateContent>
  <xr:revisionPtr revIDLastSave="0" documentId="13_ncr:1_{588B2310-64CB-4228-9248-0872F2032310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Real Estate Transactions" sheetId="1" r:id="rId1"/>
  </sheets>
  <externalReferences>
    <externalReference r:id="rId2"/>
    <externalReference r:id="rId3"/>
    <externalReference r:id="rId4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T27" i="1" l="1"/>
  <c r="S27" i="1" s="1"/>
  <c r="U27" i="1"/>
  <c r="W27" i="1"/>
  <c r="V27" i="1" s="1"/>
  <c r="X27" i="1"/>
  <c r="Z27" i="1"/>
  <c r="Y27" i="1" s="1"/>
  <c r="AA27" i="1"/>
  <c r="AC27" i="1"/>
  <c r="AB27" i="1" s="1"/>
  <c r="AD27" i="1"/>
  <c r="AF27" i="1"/>
  <c r="AE27" i="1" s="1"/>
  <c r="AG27" i="1"/>
  <c r="AI27" i="1"/>
  <c r="AH27" i="1" s="1"/>
  <c r="AJ27" i="1"/>
  <c r="AK27" i="1"/>
  <c r="AL27" i="1"/>
  <c r="AM27" i="1"/>
  <c r="T28" i="1"/>
  <c r="U28" i="1"/>
  <c r="S28" i="1" s="1"/>
  <c r="W28" i="1"/>
  <c r="V28" i="1" s="1"/>
  <c r="X28" i="1"/>
  <c r="Z28" i="1"/>
  <c r="Y28" i="1" s="1"/>
  <c r="AA28" i="1"/>
  <c r="AC28" i="1"/>
  <c r="AB28" i="1" s="1"/>
  <c r="AD28" i="1"/>
  <c r="AF28" i="1"/>
  <c r="AE28" i="1" s="1"/>
  <c r="AG28" i="1"/>
  <c r="AI28" i="1"/>
  <c r="AH28" i="1" s="1"/>
  <c r="AJ28" i="1"/>
  <c r="AL28" i="1"/>
  <c r="AK28" i="1" s="1"/>
  <c r="AM28" i="1"/>
  <c r="S29" i="1"/>
  <c r="T29" i="1"/>
  <c r="U29" i="1"/>
  <c r="W29" i="1"/>
  <c r="X29" i="1"/>
  <c r="V29" i="1" s="1"/>
  <c r="Z29" i="1"/>
  <c r="Y29" i="1" s="1"/>
  <c r="AA29" i="1"/>
  <c r="AC29" i="1"/>
  <c r="AB29" i="1" s="1"/>
  <c r="AD29" i="1"/>
  <c r="AF29" i="1"/>
  <c r="AE29" i="1" s="1"/>
  <c r="AG29" i="1"/>
  <c r="AI29" i="1"/>
  <c r="AH29" i="1" s="1"/>
  <c r="AJ29" i="1"/>
  <c r="AL29" i="1"/>
  <c r="AK29" i="1" s="1"/>
  <c r="AM29" i="1"/>
  <c r="T30" i="1"/>
  <c r="S30" i="1" s="1"/>
  <c r="U30" i="1"/>
  <c r="V30" i="1"/>
  <c r="W30" i="1"/>
  <c r="X30" i="1"/>
  <c r="Z30" i="1"/>
  <c r="AA30" i="1"/>
  <c r="Y30" i="1" s="1"/>
  <c r="AC30" i="1"/>
  <c r="AB30" i="1" s="1"/>
  <c r="AD30" i="1"/>
  <c r="AF30" i="1"/>
  <c r="AG30" i="1"/>
  <c r="AE30" i="1" s="1"/>
  <c r="AI30" i="1"/>
  <c r="AH30" i="1" s="1"/>
  <c r="AJ30" i="1"/>
  <c r="AL30" i="1"/>
  <c r="AK30" i="1" s="1"/>
  <c r="AM30" i="1"/>
  <c r="T31" i="1"/>
  <c r="S31" i="1" s="1"/>
  <c r="U31" i="1"/>
  <c r="W31" i="1"/>
  <c r="V31" i="1" s="1"/>
  <c r="X31" i="1"/>
  <c r="Y31" i="1"/>
  <c r="Z31" i="1"/>
  <c r="AA31" i="1"/>
  <c r="AC31" i="1"/>
  <c r="AD31" i="1"/>
  <c r="AB31" i="1" s="1"/>
  <c r="AF31" i="1"/>
  <c r="AE31" i="1" s="1"/>
  <c r="AG31" i="1"/>
  <c r="AI31" i="1"/>
  <c r="AJ31" i="1"/>
  <c r="AH31" i="1" s="1"/>
  <c r="AL31" i="1"/>
  <c r="AK31" i="1" s="1"/>
  <c r="AM31" i="1"/>
  <c r="T32" i="1"/>
  <c r="S32" i="1" s="1"/>
  <c r="U32" i="1"/>
  <c r="W32" i="1"/>
  <c r="V32" i="1" s="1"/>
  <c r="X32" i="1"/>
  <c r="Z32" i="1"/>
  <c r="Y32" i="1" s="1"/>
  <c r="AA32" i="1"/>
  <c r="AB32" i="1"/>
  <c r="AC32" i="1"/>
  <c r="AD32" i="1"/>
  <c r="AF32" i="1"/>
  <c r="AG32" i="1"/>
  <c r="AE32" i="1" s="1"/>
  <c r="AI32" i="1"/>
  <c r="AH32" i="1" s="1"/>
  <c r="AJ32" i="1"/>
  <c r="AL32" i="1"/>
  <c r="AM32" i="1"/>
  <c r="AK32" i="1" s="1"/>
  <c r="T33" i="1"/>
  <c r="S33" i="1" s="1"/>
  <c r="U33" i="1"/>
  <c r="W33" i="1"/>
  <c r="V33" i="1" s="1"/>
  <c r="X33" i="1"/>
  <c r="Z33" i="1"/>
  <c r="Y33" i="1" s="1"/>
  <c r="AA33" i="1"/>
  <c r="AC33" i="1"/>
  <c r="AB33" i="1" s="1"/>
  <c r="AD33" i="1"/>
  <c r="AE33" i="1"/>
  <c r="AF33" i="1"/>
  <c r="AG33" i="1"/>
  <c r="AI33" i="1"/>
  <c r="AJ33" i="1"/>
  <c r="AH33" i="1" s="1"/>
  <c r="AL33" i="1"/>
  <c r="AK33" i="1" s="1"/>
  <c r="AM33" i="1"/>
  <c r="T34" i="1"/>
  <c r="U34" i="1"/>
  <c r="S34" i="1" s="1"/>
  <c r="W34" i="1"/>
  <c r="V34" i="1" s="1"/>
  <c r="X34" i="1"/>
  <c r="Z34" i="1"/>
  <c r="Y34" i="1" s="1"/>
  <c r="AA34" i="1"/>
  <c r="AC34" i="1"/>
  <c r="AB34" i="1" s="1"/>
  <c r="AD34" i="1"/>
  <c r="AF34" i="1"/>
  <c r="AE34" i="1" s="1"/>
  <c r="AG34" i="1"/>
  <c r="AH34" i="1"/>
  <c r="AI34" i="1"/>
  <c r="AJ34" i="1"/>
  <c r="AL34" i="1"/>
  <c r="AM34" i="1"/>
  <c r="AK34" i="1" s="1"/>
  <c r="T35" i="1"/>
  <c r="S35" i="1" s="1"/>
  <c r="U35" i="1"/>
  <c r="W35" i="1"/>
  <c r="X35" i="1"/>
  <c r="V35" i="1" s="1"/>
  <c r="Z35" i="1"/>
  <c r="Y35" i="1" s="1"/>
  <c r="AA35" i="1"/>
  <c r="AC35" i="1"/>
  <c r="AB35" i="1" s="1"/>
  <c r="AD35" i="1"/>
  <c r="AF35" i="1"/>
  <c r="AE35" i="1" s="1"/>
  <c r="AG35" i="1"/>
  <c r="AI35" i="1"/>
  <c r="AH35" i="1" s="1"/>
  <c r="AJ35" i="1"/>
  <c r="AK35" i="1"/>
  <c r="AL35" i="1"/>
  <c r="AM35" i="1"/>
  <c r="T36" i="1"/>
  <c r="U36" i="1"/>
  <c r="S36" i="1" s="1"/>
  <c r="W36" i="1"/>
  <c r="V36" i="1" s="1"/>
  <c r="X36" i="1"/>
  <c r="Z36" i="1"/>
  <c r="AA36" i="1"/>
  <c r="Y36" i="1" s="1"/>
  <c r="AC36" i="1"/>
  <c r="AB36" i="1" s="1"/>
  <c r="AD36" i="1"/>
  <c r="AF36" i="1"/>
  <c r="AE36" i="1" s="1"/>
  <c r="AG36" i="1"/>
  <c r="AI36" i="1"/>
  <c r="AH36" i="1" s="1"/>
  <c r="AJ36" i="1"/>
  <c r="AL36" i="1"/>
  <c r="AK36" i="1" s="1"/>
  <c r="AM36" i="1"/>
  <c r="S37" i="1"/>
  <c r="T37" i="1"/>
  <c r="U37" i="1"/>
  <c r="W37" i="1"/>
  <c r="X37" i="1"/>
  <c r="V37" i="1" s="1"/>
  <c r="Z37" i="1"/>
  <c r="Y37" i="1" s="1"/>
  <c r="AA37" i="1"/>
  <c r="AC37" i="1"/>
  <c r="AD37" i="1"/>
  <c r="AB37" i="1" s="1"/>
  <c r="AF37" i="1"/>
  <c r="AE37" i="1" s="1"/>
  <c r="AG37" i="1"/>
  <c r="AI37" i="1"/>
  <c r="AH37" i="1" s="1"/>
  <c r="AJ37" i="1"/>
  <c r="AL37" i="1"/>
  <c r="AK37" i="1" s="1"/>
  <c r="AM37" i="1"/>
  <c r="T38" i="1"/>
  <c r="S38" i="1" s="1"/>
  <c r="U38" i="1"/>
  <c r="V38" i="1"/>
  <c r="W38" i="1"/>
  <c r="X38" i="1"/>
  <c r="Z38" i="1"/>
  <c r="AA38" i="1"/>
  <c r="Y38" i="1" s="1"/>
  <c r="AC38" i="1"/>
  <c r="AB38" i="1" s="1"/>
  <c r="AD38" i="1"/>
  <c r="AF38" i="1"/>
  <c r="AG38" i="1"/>
  <c r="AE38" i="1" s="1"/>
  <c r="AI38" i="1"/>
  <c r="AH38" i="1" s="1"/>
  <c r="AJ38" i="1"/>
  <c r="AL38" i="1"/>
  <c r="AK38" i="1" s="1"/>
  <c r="AM38" i="1"/>
  <c r="T39" i="1"/>
  <c r="S39" i="1" s="1"/>
  <c r="U39" i="1"/>
  <c r="W39" i="1"/>
  <c r="V39" i="1" s="1"/>
  <c r="X39" i="1"/>
  <c r="Y39" i="1"/>
  <c r="Z39" i="1"/>
  <c r="AA39" i="1"/>
  <c r="AC39" i="1"/>
  <c r="AD39" i="1"/>
  <c r="AB39" i="1" s="1"/>
  <c r="AF39" i="1"/>
  <c r="AE39" i="1" s="1"/>
  <c r="AG39" i="1"/>
  <c r="AI39" i="1"/>
  <c r="AJ39" i="1"/>
  <c r="AH39" i="1" s="1"/>
  <c r="AL39" i="1"/>
  <c r="AK39" i="1" s="1"/>
  <c r="AM39" i="1"/>
  <c r="T40" i="1"/>
  <c r="S40" i="1" s="1"/>
  <c r="U40" i="1"/>
  <c r="W40" i="1"/>
  <c r="V40" i="1" s="1"/>
  <c r="X40" i="1"/>
  <c r="Z40" i="1"/>
  <c r="Y40" i="1" s="1"/>
  <c r="AA40" i="1"/>
  <c r="AB40" i="1"/>
  <c r="AC40" i="1"/>
  <c r="AD40" i="1"/>
  <c r="AF40" i="1"/>
  <c r="AG40" i="1"/>
  <c r="AE40" i="1" s="1"/>
  <c r="AI40" i="1"/>
  <c r="AH40" i="1" s="1"/>
  <c r="AJ40" i="1"/>
  <c r="AL40" i="1"/>
  <c r="AM40" i="1"/>
  <c r="AK40" i="1" s="1"/>
  <c r="T41" i="1"/>
  <c r="S41" i="1" s="1"/>
  <c r="U41" i="1"/>
  <c r="W41" i="1"/>
  <c r="V41" i="1" s="1"/>
  <c r="X41" i="1"/>
  <c r="Z41" i="1"/>
  <c r="Y41" i="1" s="1"/>
  <c r="AA41" i="1"/>
  <c r="AC41" i="1"/>
  <c r="AB41" i="1" s="1"/>
  <c r="AD41" i="1"/>
  <c r="AE41" i="1"/>
  <c r="AF41" i="1"/>
  <c r="AG41" i="1"/>
  <c r="AI41" i="1"/>
  <c r="AJ41" i="1"/>
  <c r="AH41" i="1" s="1"/>
  <c r="AL41" i="1"/>
  <c r="AK41" i="1" s="1"/>
  <c r="AM41" i="1"/>
  <c r="AC26" i="1"/>
  <c r="AB26" i="1" s="1"/>
  <c r="AD26" i="1"/>
  <c r="AF26" i="1"/>
  <c r="AE26" i="1" s="1"/>
  <c r="AG26" i="1"/>
  <c r="AH26" i="1"/>
  <c r="AI26" i="1"/>
  <c r="AJ26" i="1"/>
  <c r="AL26" i="1"/>
  <c r="AK26" i="1" s="1"/>
  <c r="AM26" i="1"/>
  <c r="T26" i="1"/>
  <c r="S26" i="1" s="1"/>
  <c r="U26" i="1"/>
  <c r="W26" i="1"/>
  <c r="V26" i="1" s="1"/>
  <c r="X26" i="1"/>
  <c r="Z26" i="1"/>
  <c r="AA26" i="1"/>
  <c r="Y26" i="1"/>
  <c r="P16" i="1"/>
  <c r="Q16" i="1"/>
  <c r="R16" i="1"/>
  <c r="P17" i="1"/>
  <c r="Q17" i="1"/>
  <c r="R17" i="1"/>
  <c r="P18" i="1"/>
  <c r="Q18" i="1"/>
  <c r="R18" i="1"/>
  <c r="P19" i="1"/>
  <c r="Q19" i="1"/>
  <c r="R19" i="1"/>
  <c r="P20" i="1"/>
  <c r="Q20" i="1"/>
  <c r="R20" i="1"/>
  <c r="P21" i="1"/>
  <c r="Q21" i="1"/>
  <c r="R21" i="1"/>
  <c r="P22" i="1"/>
  <c r="Q22" i="1"/>
  <c r="R22" i="1"/>
  <c r="P23" i="1"/>
  <c r="Q23" i="1"/>
  <c r="R23" i="1"/>
  <c r="P24" i="1"/>
  <c r="Q24" i="1"/>
  <c r="R24" i="1"/>
  <c r="P25" i="1"/>
  <c r="Q25" i="1"/>
  <c r="R25" i="1"/>
  <c r="P26" i="1"/>
  <c r="Q26" i="1"/>
  <c r="R26" i="1"/>
  <c r="P27" i="1"/>
  <c r="Q27" i="1"/>
  <c r="R27" i="1"/>
  <c r="P28" i="1"/>
  <c r="Q28" i="1"/>
  <c r="R28" i="1"/>
  <c r="P29" i="1"/>
  <c r="Q29" i="1"/>
  <c r="R29" i="1"/>
  <c r="P30" i="1"/>
  <c r="Q30" i="1"/>
  <c r="R30" i="1"/>
  <c r="P31" i="1"/>
  <c r="Q31" i="1"/>
  <c r="R31" i="1"/>
  <c r="P32" i="1"/>
  <c r="Q32" i="1"/>
  <c r="R32" i="1"/>
  <c r="P33" i="1"/>
  <c r="Q33" i="1"/>
  <c r="R33" i="1"/>
  <c r="P34" i="1"/>
  <c r="Q34" i="1"/>
  <c r="R34" i="1"/>
  <c r="P35" i="1"/>
  <c r="Q35" i="1"/>
  <c r="R35" i="1"/>
  <c r="P36" i="1"/>
  <c r="Q36" i="1"/>
  <c r="R36" i="1"/>
  <c r="P37" i="1"/>
  <c r="Q37" i="1"/>
  <c r="R37" i="1"/>
  <c r="P38" i="1"/>
  <c r="Q38" i="1"/>
  <c r="R38" i="1"/>
  <c r="P39" i="1"/>
  <c r="Q39" i="1"/>
  <c r="R39" i="1"/>
  <c r="P40" i="1"/>
  <c r="Q40" i="1"/>
  <c r="R40" i="1"/>
  <c r="P41" i="1"/>
  <c r="Q41" i="1"/>
  <c r="R41" i="1"/>
  <c r="P15" i="1"/>
  <c r="Q15" i="1"/>
  <c r="R15" i="1"/>
  <c r="P14" i="1"/>
  <c r="Q14" i="1"/>
  <c r="R14" i="1"/>
  <c r="M16" i="1"/>
  <c r="N16" i="1"/>
  <c r="O16" i="1"/>
  <c r="M17" i="1"/>
  <c r="N17" i="1"/>
  <c r="O17" i="1"/>
  <c r="M18" i="1"/>
  <c r="N18" i="1"/>
  <c r="O18" i="1"/>
  <c r="M19" i="1"/>
  <c r="N19" i="1"/>
  <c r="O19" i="1"/>
  <c r="M20" i="1"/>
  <c r="N20" i="1"/>
  <c r="O20" i="1"/>
  <c r="M21" i="1"/>
  <c r="N21" i="1"/>
  <c r="O21" i="1"/>
  <c r="M22" i="1"/>
  <c r="N22" i="1"/>
  <c r="O22" i="1"/>
  <c r="M23" i="1"/>
  <c r="N23" i="1"/>
  <c r="O23" i="1"/>
  <c r="M24" i="1"/>
  <c r="N24" i="1"/>
  <c r="O24" i="1"/>
  <c r="M25" i="1"/>
  <c r="N25" i="1"/>
  <c r="O25" i="1"/>
  <c r="M26" i="1"/>
  <c r="N26" i="1"/>
  <c r="O26" i="1"/>
  <c r="M27" i="1"/>
  <c r="N27" i="1"/>
  <c r="O27" i="1"/>
  <c r="M28" i="1"/>
  <c r="N28" i="1"/>
  <c r="O28" i="1"/>
  <c r="M29" i="1"/>
  <c r="N29" i="1"/>
  <c r="O29" i="1"/>
  <c r="M30" i="1"/>
  <c r="N30" i="1"/>
  <c r="O30" i="1"/>
  <c r="M31" i="1"/>
  <c r="N31" i="1"/>
  <c r="O31" i="1"/>
  <c r="M32" i="1"/>
  <c r="N32" i="1"/>
  <c r="O32" i="1"/>
  <c r="M33" i="1"/>
  <c r="N33" i="1"/>
  <c r="O33" i="1"/>
  <c r="M34" i="1"/>
  <c r="N34" i="1"/>
  <c r="O34" i="1"/>
  <c r="M35" i="1"/>
  <c r="N35" i="1"/>
  <c r="O35" i="1"/>
  <c r="M36" i="1"/>
  <c r="N36" i="1"/>
  <c r="O36" i="1"/>
  <c r="M37" i="1"/>
  <c r="N37" i="1"/>
  <c r="O37" i="1"/>
  <c r="M38" i="1"/>
  <c r="N38" i="1"/>
  <c r="O38" i="1"/>
  <c r="M39" i="1"/>
  <c r="N39" i="1"/>
  <c r="O39" i="1"/>
  <c r="M40" i="1"/>
  <c r="N40" i="1"/>
  <c r="O40" i="1"/>
  <c r="M41" i="1"/>
  <c r="N41" i="1"/>
  <c r="O41" i="1"/>
  <c r="M15" i="1"/>
  <c r="N15" i="1"/>
  <c r="O15" i="1"/>
  <c r="O14" i="1"/>
  <c r="N14" i="1"/>
  <c r="M14" i="1"/>
  <c r="L14" i="1"/>
  <c r="L15" i="1"/>
  <c r="L16" i="1"/>
  <c r="L17" i="1"/>
  <c r="L18" i="1"/>
  <c r="L19" i="1"/>
  <c r="L20" i="1"/>
  <c r="L21" i="1"/>
  <c r="L22" i="1"/>
  <c r="L23" i="1"/>
  <c r="L24" i="1"/>
  <c r="L25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14" i="1"/>
  <c r="K15" i="1"/>
  <c r="K16" i="1"/>
  <c r="K17" i="1"/>
  <c r="K18" i="1"/>
  <c r="K19" i="1"/>
  <c r="K20" i="1"/>
  <c r="K21" i="1"/>
  <c r="K22" i="1"/>
  <c r="K23" i="1"/>
  <c r="K24" i="1"/>
  <c r="K25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14" i="1"/>
  <c r="J15" i="1"/>
  <c r="J16" i="1"/>
  <c r="J17" i="1"/>
  <c r="J18" i="1"/>
  <c r="J19" i="1"/>
  <c r="J20" i="1"/>
  <c r="J21" i="1"/>
  <c r="J22" i="1"/>
  <c r="J23" i="1"/>
  <c r="J24" i="1"/>
  <c r="J25" i="1"/>
  <c r="I14" i="1"/>
  <c r="I15" i="1"/>
  <c r="I16" i="1"/>
  <c r="I17" i="1"/>
  <c r="I18" i="1"/>
  <c r="I19" i="1"/>
  <c r="I20" i="1"/>
  <c r="I21" i="1"/>
  <c r="I22" i="1"/>
  <c r="I23" i="1"/>
  <c r="I24" i="1"/>
  <c r="I25" i="1"/>
  <c r="H14" i="1"/>
  <c r="H15" i="1"/>
  <c r="H16" i="1"/>
  <c r="H17" i="1"/>
  <c r="H18" i="1"/>
  <c r="H19" i="1"/>
  <c r="H20" i="1"/>
  <c r="H21" i="1"/>
  <c r="H22" i="1"/>
  <c r="H23" i="1"/>
  <c r="H24" i="1"/>
  <c r="H25" i="1"/>
  <c r="G14" i="1"/>
  <c r="G15" i="1"/>
  <c r="G16" i="1"/>
  <c r="G17" i="1"/>
  <c r="G18" i="1"/>
  <c r="G19" i="1"/>
  <c r="G20" i="1"/>
  <c r="G21" i="1"/>
  <c r="G22" i="1"/>
  <c r="G23" i="1"/>
  <c r="G24" i="1"/>
  <c r="G25" i="1"/>
  <c r="J26" i="1"/>
  <c r="K26" i="1"/>
  <c r="L26" i="1"/>
  <c r="G27" i="1"/>
  <c r="H27" i="1"/>
  <c r="I27" i="1"/>
  <c r="G28" i="1"/>
  <c r="H28" i="1"/>
  <c r="I28" i="1"/>
  <c r="G29" i="1"/>
  <c r="H29" i="1"/>
  <c r="I29" i="1"/>
  <c r="G30" i="1"/>
  <c r="H30" i="1"/>
  <c r="I30" i="1"/>
  <c r="G31" i="1"/>
  <c r="H31" i="1"/>
  <c r="I31" i="1"/>
  <c r="G32" i="1"/>
  <c r="H32" i="1"/>
  <c r="I32" i="1"/>
  <c r="G33" i="1"/>
  <c r="H33" i="1"/>
  <c r="I33" i="1"/>
  <c r="G34" i="1"/>
  <c r="H34" i="1"/>
  <c r="I34" i="1"/>
  <c r="G35" i="1"/>
  <c r="H35" i="1"/>
  <c r="I35" i="1"/>
  <c r="G36" i="1"/>
  <c r="H36" i="1"/>
  <c r="I36" i="1"/>
  <c r="G37" i="1"/>
  <c r="H37" i="1"/>
  <c r="I37" i="1"/>
  <c r="G38" i="1"/>
  <c r="H38" i="1"/>
  <c r="I38" i="1"/>
  <c r="G39" i="1"/>
  <c r="H39" i="1"/>
  <c r="I39" i="1"/>
  <c r="G40" i="1"/>
  <c r="H40" i="1"/>
  <c r="I40" i="1"/>
  <c r="G41" i="1"/>
  <c r="H41" i="1"/>
  <c r="I41" i="1"/>
  <c r="I26" i="1"/>
  <c r="H26" i="1"/>
  <c r="G26" i="1"/>
</calcChain>
</file>

<file path=xl/sharedStrings.xml><?xml version="1.0" encoding="utf-8"?>
<sst xmlns="http://schemas.openxmlformats.org/spreadsheetml/2006/main" count="159" uniqueCount="97">
  <si>
    <t>year</t>
  </si>
  <si>
    <t>month</t>
  </si>
  <si>
    <t>quarter</t>
  </si>
  <si>
    <t>Q1</t>
  </si>
  <si>
    <t>Q2</t>
  </si>
  <si>
    <t>Q3</t>
  </si>
  <si>
    <t>Q4</t>
  </si>
  <si>
    <t>2022-1</t>
  </si>
  <si>
    <t>2022-Q1</t>
  </si>
  <si>
    <t>2022-2</t>
  </si>
  <si>
    <t>2022-3</t>
  </si>
  <si>
    <t>2022-4</t>
  </si>
  <si>
    <t>2022-Q2</t>
  </si>
  <si>
    <t>2022-5</t>
  </si>
  <si>
    <t>2022-6</t>
  </si>
  <si>
    <t>2022-7</t>
  </si>
  <si>
    <t>2022-Q3</t>
  </si>
  <si>
    <t>2022-8</t>
  </si>
  <si>
    <t>2022-9</t>
  </si>
  <si>
    <t>2022-10</t>
  </si>
  <si>
    <t>2022-Q4</t>
  </si>
  <si>
    <t>2022-11</t>
  </si>
  <si>
    <t>2022-12</t>
  </si>
  <si>
    <t>2023-1</t>
  </si>
  <si>
    <t>2023-Q1</t>
  </si>
  <si>
    <t>2023-2</t>
  </si>
  <si>
    <t>2023-3</t>
  </si>
  <si>
    <t>2023-4</t>
  </si>
  <si>
    <t>2023-Q2</t>
  </si>
  <si>
    <t>2023-5</t>
  </si>
  <si>
    <t>2023-6</t>
  </si>
  <si>
    <t>2023-7</t>
  </si>
  <si>
    <t>2023-Q3</t>
  </si>
  <si>
    <t>2023-8</t>
  </si>
  <si>
    <t>2023-9</t>
  </si>
  <si>
    <t>2023-10</t>
  </si>
  <si>
    <t>2023-Q4</t>
  </si>
  <si>
    <t>2023-11</t>
  </si>
  <si>
    <t>2023-12</t>
  </si>
  <si>
    <t>2024-1</t>
  </si>
  <si>
    <t>2024-Q1</t>
  </si>
  <si>
    <t>2024-2</t>
  </si>
  <si>
    <t>2024-3</t>
  </si>
  <si>
    <t>2024-4</t>
  </si>
  <si>
    <t>2024-Q2</t>
  </si>
  <si>
    <t>2024-5</t>
  </si>
  <si>
    <t>2024-6</t>
  </si>
  <si>
    <t>2024-7</t>
  </si>
  <si>
    <t>2024-Q3</t>
  </si>
  <si>
    <t>2024-8</t>
  </si>
  <si>
    <t>2024-9</t>
  </si>
  <si>
    <t>2024-10</t>
  </si>
  <si>
    <t>2024-Q4</t>
  </si>
  <si>
    <t>2024-11</t>
  </si>
  <si>
    <t>2024-12</t>
  </si>
  <si>
    <t>2025-1</t>
  </si>
  <si>
    <t>2025-Q1</t>
  </si>
  <si>
    <t>2025-2</t>
  </si>
  <si>
    <t>2025-3</t>
  </si>
  <si>
    <t>year_month</t>
  </si>
  <si>
    <t>year_quarter</t>
  </si>
  <si>
    <t>boi_interest_rate</t>
  </si>
  <si>
    <t>tus_seasonal_cleaned</t>
  </si>
  <si>
    <t>tus_trend</t>
  </si>
  <si>
    <t>nus_seasonal_cleand</t>
  </si>
  <si>
    <t>nus_trend</t>
  </si>
  <si>
    <t>ous_seasonal_cleaned</t>
  </si>
  <si>
    <t>ous_trend</t>
  </si>
  <si>
    <t>unsold_units_supply</t>
  </si>
  <si>
    <t>uus_seasonal_cleaned</t>
  </si>
  <si>
    <t>uus_trend</t>
  </si>
  <si>
    <t>jerusalem_tus</t>
  </si>
  <si>
    <t>jerusalem_nus</t>
  </si>
  <si>
    <t>jerusalem_ous</t>
  </si>
  <si>
    <t>north_tus</t>
  </si>
  <si>
    <t>north_nus</t>
  </si>
  <si>
    <t>north_ous</t>
  </si>
  <si>
    <t>haifa_tus</t>
  </si>
  <si>
    <t>haifa_nus</t>
  </si>
  <si>
    <t>haifa_ous</t>
  </si>
  <si>
    <t>central_tus</t>
  </si>
  <si>
    <t>central_nus</t>
  </si>
  <si>
    <t>central_ous</t>
  </si>
  <si>
    <t>tlv_tus</t>
  </si>
  <si>
    <t>tlv_nus</t>
  </si>
  <si>
    <t>tlv_ous</t>
  </si>
  <si>
    <t>south_tus</t>
  </si>
  <si>
    <t>south_nus</t>
  </si>
  <si>
    <t>south_ous</t>
  </si>
  <si>
    <t>judea_samaria_tus</t>
  </si>
  <si>
    <t>judea_samaria_nus</t>
  </si>
  <si>
    <t>judea_samaria_ous</t>
  </si>
  <si>
    <t>tus</t>
  </si>
  <si>
    <t>nus</t>
  </si>
  <si>
    <t>ous</t>
  </si>
  <si>
    <t>2025-4</t>
  </si>
  <si>
    <t>2025-Q2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</si>
</sst>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rial"/>
      <family val="2"/>
      <scheme val="minor"/>
    </font>
    <font>
      <sz val="8"/>
      <name val="Arial"/>
      <family val="2"/>
      <scheme val="minor"/>
    </font>
    <font>
      <sz val="11"/>
      <color theme="0"/>
      <name val="Arial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-0.499984740745262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9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3" fontId="0" fillId="0" borderId="0" xfId="0" applyNumberFormat="1"/>
    <xf numFmtId="0" fontId="2" fillId="2" borderId="0" xfId="0" applyFont="1" applyFill="1" applyAlignment="1">
      <alignment horizontal="center" wrapText="1"/>
    </xf>
    <xf numFmtId="2" fontId="0" fillId="0" borderId="0" xfId="0" applyNumberFormat="1"/>
    <xf numFmtId="0" fontId="2" fillId="3" borderId="0" xfId="0" applyFont="1" applyFill="1" applyAlignment="1">
      <alignment horizontal="center" wrapText="1"/>
    </xf>
    <xf numFmtId="0" fontId="2" fillId="4" borderId="0" xfId="0" applyFont="1" applyFill="1" applyAlignment="1">
      <alignment horizontal="center" wrapText="1"/>
    </xf>
    <xf numFmtId="0" fontId="2" fillId="5" borderId="0" xfId="0" applyFont="1" applyFill="1" applyAlignment="1">
      <alignment horizontal="center" wrapText="1"/>
    </xf>
    <xf numFmtId="3" fontId="0" fillId="0" borderId="0" xfId="0" applyNumberFormat="1" applyFill="1"/>
    <xf numFmtId="0" fontId="0" fillId="0" borderId="0" xfId="0" applyFill="1"/>
    <xf numFmtId="2" fontId="0" fillId="0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externalLink" Target="externalLinks/externalLink2.xml"/><Relationship Id="rId7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3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saarp\Documents\GitHub\portfolio\Nadlan\cbs\04_25_180t1.xls" TargetMode="External"/><Relationship Id="rId1" Type="http://schemas.openxmlformats.org/officeDocument/2006/relationships/externalLinkPath" Target="cbs/04_25_180t1.xls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saarp\Documents\GitHub\portfolio\Nadlan\cbs\04_25_180t2.xls" TargetMode="External"/><Relationship Id="rId1" Type="http://schemas.openxmlformats.org/officeDocument/2006/relationships/externalLinkPath" Target="cbs/04_25_180t2.xls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saarp\Documents\GitHub\portfolio\Nadlan\cbs\04_25_180t3.xls" TargetMode="External"/><Relationship Id="rId1" Type="http://schemas.openxmlformats.org/officeDocument/2006/relationships/externalLinkPath" Target="cbs/04_25_180t3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לוח 1 table"/>
    </sheetNames>
    <sheetDataSet>
      <sheetData sheetId="0">
        <row r="13">
          <cell r="B13">
            <v>4239</v>
          </cell>
          <cell r="C13">
            <v>4229</v>
          </cell>
          <cell r="D13">
            <v>4600</v>
          </cell>
          <cell r="G13">
            <v>2384</v>
          </cell>
          <cell r="H13">
            <v>2150</v>
          </cell>
          <cell r="I13">
            <v>2500</v>
          </cell>
          <cell r="K13">
            <v>6679</v>
          </cell>
          <cell r="L13">
            <v>6378</v>
          </cell>
          <cell r="M13">
            <v>7100</v>
          </cell>
        </row>
        <row r="14">
          <cell r="B14">
            <v>4078</v>
          </cell>
          <cell r="C14">
            <v>3969</v>
          </cell>
          <cell r="D14">
            <v>3895</v>
          </cell>
          <cell r="G14">
            <v>2337</v>
          </cell>
          <cell r="H14">
            <v>2561</v>
          </cell>
          <cell r="I14">
            <v>2441</v>
          </cell>
          <cell r="K14">
            <v>6450</v>
          </cell>
          <cell r="L14">
            <v>6530</v>
          </cell>
          <cell r="M14">
            <v>6336</v>
          </cell>
        </row>
        <row r="15">
          <cell r="B15">
            <v>3936</v>
          </cell>
          <cell r="C15">
            <v>3967</v>
          </cell>
          <cell r="D15">
            <v>4496</v>
          </cell>
          <cell r="G15">
            <v>2321</v>
          </cell>
          <cell r="H15">
            <v>2303</v>
          </cell>
          <cell r="I15">
            <v>2727</v>
          </cell>
          <cell r="K15">
            <v>6275</v>
          </cell>
          <cell r="L15">
            <v>6270</v>
          </cell>
          <cell r="M15">
            <v>7223</v>
          </cell>
        </row>
        <row r="16">
          <cell r="B16">
            <v>3811</v>
          </cell>
          <cell r="C16">
            <v>3775</v>
          </cell>
          <cell r="D16">
            <v>2695</v>
          </cell>
          <cell r="G16">
            <v>2338</v>
          </cell>
          <cell r="H16">
            <v>2323</v>
          </cell>
          <cell r="I16">
            <v>1456</v>
          </cell>
          <cell r="K16">
            <v>6172</v>
          </cell>
          <cell r="L16">
            <v>6098</v>
          </cell>
          <cell r="M16">
            <v>4151</v>
          </cell>
        </row>
        <row r="17">
          <cell r="B17">
            <v>3706</v>
          </cell>
          <cell r="C17">
            <v>3738</v>
          </cell>
          <cell r="D17">
            <v>3994</v>
          </cell>
          <cell r="G17">
            <v>2383</v>
          </cell>
          <cell r="H17">
            <v>2380</v>
          </cell>
          <cell r="I17">
            <v>2225</v>
          </cell>
          <cell r="K17">
            <v>6158</v>
          </cell>
          <cell r="L17">
            <v>6118</v>
          </cell>
          <cell r="M17">
            <v>6219</v>
          </cell>
        </row>
        <row r="18">
          <cell r="B18">
            <v>3627</v>
          </cell>
          <cell r="C18">
            <v>3761</v>
          </cell>
          <cell r="D18">
            <v>4223</v>
          </cell>
          <cell r="G18">
            <v>2452</v>
          </cell>
          <cell r="H18">
            <v>2453</v>
          </cell>
          <cell r="I18">
            <v>2829</v>
          </cell>
          <cell r="K18">
            <v>6240</v>
          </cell>
          <cell r="L18">
            <v>6215</v>
          </cell>
          <cell r="M18">
            <v>7052</v>
          </cell>
        </row>
        <row r="19">
          <cell r="B19">
            <v>3580</v>
          </cell>
          <cell r="C19">
            <v>3593</v>
          </cell>
          <cell r="D19">
            <v>4055</v>
          </cell>
          <cell r="G19">
            <v>2537</v>
          </cell>
          <cell r="H19">
            <v>2450</v>
          </cell>
          <cell r="I19">
            <v>2503</v>
          </cell>
          <cell r="K19">
            <v>6410</v>
          </cell>
          <cell r="L19">
            <v>6043</v>
          </cell>
          <cell r="M19">
            <v>6558</v>
          </cell>
        </row>
        <row r="20">
          <cell r="B20">
            <v>3573</v>
          </cell>
          <cell r="C20">
            <v>4103</v>
          </cell>
          <cell r="D20">
            <v>4345</v>
          </cell>
          <cell r="G20">
            <v>2634</v>
          </cell>
          <cell r="H20">
            <v>3109</v>
          </cell>
          <cell r="I20">
            <v>3201</v>
          </cell>
          <cell r="K20">
            <v>6649</v>
          </cell>
          <cell r="L20">
            <v>7211</v>
          </cell>
          <cell r="M20">
            <v>7546</v>
          </cell>
        </row>
        <row r="21">
          <cell r="B21">
            <v>3611</v>
          </cell>
          <cell r="C21">
            <v>3634</v>
          </cell>
          <cell r="D21">
            <v>3468</v>
          </cell>
          <cell r="G21">
            <v>2745</v>
          </cell>
          <cell r="H21">
            <v>2869</v>
          </cell>
          <cell r="I21">
            <v>2389</v>
          </cell>
          <cell r="K21">
            <v>6926</v>
          </cell>
          <cell r="L21">
            <v>6502</v>
          </cell>
          <cell r="M21">
            <v>5857</v>
          </cell>
        </row>
        <row r="22">
          <cell r="B22">
            <v>3700</v>
          </cell>
          <cell r="C22">
            <v>2373</v>
          </cell>
          <cell r="D22">
            <v>1636</v>
          </cell>
          <cell r="G22">
            <v>2879</v>
          </cell>
          <cell r="H22">
            <v>1035</v>
          </cell>
          <cell r="I22">
            <v>867</v>
          </cell>
          <cell r="K22">
            <v>7212</v>
          </cell>
          <cell r="L22">
            <v>3408</v>
          </cell>
          <cell r="M22">
            <v>2503</v>
          </cell>
        </row>
        <row r="23">
          <cell r="B23">
            <v>3835</v>
          </cell>
          <cell r="C23">
            <v>2893</v>
          </cell>
          <cell r="D23">
            <v>2982</v>
          </cell>
          <cell r="G23">
            <v>3044</v>
          </cell>
          <cell r="H23">
            <v>1506</v>
          </cell>
          <cell r="I23">
            <v>1553</v>
          </cell>
          <cell r="K23">
            <v>7491</v>
          </cell>
          <cell r="L23">
            <v>4400</v>
          </cell>
          <cell r="M23">
            <v>4535</v>
          </cell>
        </row>
        <row r="24">
          <cell r="B24">
            <v>4005</v>
          </cell>
          <cell r="C24">
            <v>3806</v>
          </cell>
          <cell r="D24">
            <v>3707</v>
          </cell>
          <cell r="G24">
            <v>3236</v>
          </cell>
          <cell r="H24">
            <v>2524</v>
          </cell>
          <cell r="I24">
            <v>2859</v>
          </cell>
          <cell r="K24">
            <v>7756</v>
          </cell>
          <cell r="L24">
            <v>6331</v>
          </cell>
          <cell r="M24">
            <v>6566</v>
          </cell>
        </row>
        <row r="25">
          <cell r="B25">
            <v>4191</v>
          </cell>
          <cell r="C25">
            <v>4471</v>
          </cell>
          <cell r="D25">
            <v>4825</v>
          </cell>
          <cell r="G25">
            <v>3440</v>
          </cell>
          <cell r="H25">
            <v>3810</v>
          </cell>
          <cell r="I25">
            <v>3958</v>
          </cell>
          <cell r="K25">
            <v>8005</v>
          </cell>
          <cell r="L25">
            <v>8282</v>
          </cell>
          <cell r="M25">
            <v>8783</v>
          </cell>
        </row>
        <row r="26">
          <cell r="B26">
            <v>4377</v>
          </cell>
          <cell r="C26">
            <v>4518</v>
          </cell>
          <cell r="D26">
            <v>4600</v>
          </cell>
          <cell r="G26">
            <v>3627</v>
          </cell>
          <cell r="H26">
            <v>3684</v>
          </cell>
          <cell r="I26">
            <v>3795</v>
          </cell>
          <cell r="K26">
            <v>8239</v>
          </cell>
          <cell r="L26">
            <v>8202</v>
          </cell>
          <cell r="M26">
            <v>8395</v>
          </cell>
        </row>
        <row r="27">
          <cell r="B27">
            <v>4550</v>
          </cell>
          <cell r="C27">
            <v>4614</v>
          </cell>
          <cell r="D27">
            <v>4794</v>
          </cell>
          <cell r="G27">
            <v>3775</v>
          </cell>
          <cell r="H27">
            <v>3826</v>
          </cell>
          <cell r="I27">
            <v>3957</v>
          </cell>
          <cell r="K27">
            <v>8447</v>
          </cell>
          <cell r="L27">
            <v>8440</v>
          </cell>
          <cell r="M27">
            <v>8751</v>
          </cell>
        </row>
        <row r="28">
          <cell r="B28">
            <v>4705</v>
          </cell>
          <cell r="C28">
            <v>4686</v>
          </cell>
          <cell r="D28">
            <v>4328</v>
          </cell>
          <cell r="G28">
            <v>3866</v>
          </cell>
          <cell r="H28">
            <v>3916</v>
          </cell>
          <cell r="I28">
            <v>3505</v>
          </cell>
          <cell r="K28">
            <v>8608</v>
          </cell>
          <cell r="L28">
            <v>8602</v>
          </cell>
          <cell r="M28">
            <v>7833</v>
          </cell>
        </row>
        <row r="29">
          <cell r="B29">
            <v>4844</v>
          </cell>
          <cell r="C29">
            <v>4614</v>
          </cell>
          <cell r="D29">
            <v>4549</v>
          </cell>
          <cell r="G29">
            <v>3893</v>
          </cell>
          <cell r="H29">
            <v>3860</v>
          </cell>
          <cell r="I29">
            <v>3923</v>
          </cell>
          <cell r="K29">
            <v>8697</v>
          </cell>
          <cell r="L29">
            <v>8475</v>
          </cell>
          <cell r="M29">
            <v>8472</v>
          </cell>
        </row>
        <row r="30">
          <cell r="B30">
            <v>4978</v>
          </cell>
          <cell r="C30">
            <v>4978</v>
          </cell>
          <cell r="D30">
            <v>5023</v>
          </cell>
          <cell r="G30">
            <v>3862</v>
          </cell>
          <cell r="H30">
            <v>3859</v>
          </cell>
          <cell r="I30">
            <v>3787</v>
          </cell>
          <cell r="K30">
            <v>8696</v>
          </cell>
          <cell r="L30">
            <v>8838</v>
          </cell>
          <cell r="M30">
            <v>8810</v>
          </cell>
        </row>
        <row r="31">
          <cell r="B31">
            <v>5109</v>
          </cell>
          <cell r="C31">
            <v>5088</v>
          </cell>
          <cell r="D31">
            <v>5676</v>
          </cell>
          <cell r="G31">
            <v>3789</v>
          </cell>
          <cell r="H31">
            <v>4043</v>
          </cell>
          <cell r="I31">
            <v>4024</v>
          </cell>
          <cell r="K31">
            <v>8608</v>
          </cell>
          <cell r="L31">
            <v>9131</v>
          </cell>
          <cell r="M31">
            <v>9700</v>
          </cell>
        </row>
        <row r="32">
          <cell r="B32">
            <v>5232</v>
          </cell>
          <cell r="C32">
            <v>5176</v>
          </cell>
          <cell r="D32">
            <v>4496</v>
          </cell>
          <cell r="G32">
            <v>3689</v>
          </cell>
          <cell r="H32">
            <v>3726</v>
          </cell>
          <cell r="I32">
            <v>3487</v>
          </cell>
          <cell r="K32">
            <v>8455</v>
          </cell>
          <cell r="L32">
            <v>8902</v>
          </cell>
          <cell r="M32">
            <v>7983</v>
          </cell>
        </row>
        <row r="33">
          <cell r="B33">
            <v>5332</v>
          </cell>
          <cell r="C33">
            <v>5130</v>
          </cell>
          <cell r="D33">
            <v>5264</v>
          </cell>
          <cell r="G33">
            <v>3579</v>
          </cell>
          <cell r="H33">
            <v>3467</v>
          </cell>
          <cell r="I33">
            <v>3736</v>
          </cell>
          <cell r="K33">
            <v>8283</v>
          </cell>
          <cell r="L33">
            <v>8597</v>
          </cell>
          <cell r="M33">
            <v>9000</v>
          </cell>
        </row>
        <row r="34">
          <cell r="B34">
            <v>5385</v>
          </cell>
          <cell r="C34">
            <v>3952</v>
          </cell>
          <cell r="D34">
            <v>3194</v>
          </cell>
          <cell r="G34">
            <v>3467</v>
          </cell>
          <cell r="H34">
            <v>3455</v>
          </cell>
          <cell r="I34">
            <v>2400</v>
          </cell>
          <cell r="K34">
            <v>8129</v>
          </cell>
          <cell r="L34">
            <v>7408</v>
          </cell>
          <cell r="M34">
            <v>5594</v>
          </cell>
        </row>
        <row r="35">
          <cell r="B35">
            <v>5375</v>
          </cell>
          <cell r="C35">
            <v>4231</v>
          </cell>
          <cell r="D35">
            <v>4414</v>
          </cell>
          <cell r="G35">
            <v>3356</v>
          </cell>
          <cell r="H35">
            <v>3041</v>
          </cell>
          <cell r="I35">
            <v>3130</v>
          </cell>
          <cell r="K35">
            <v>8012</v>
          </cell>
          <cell r="L35">
            <v>7272</v>
          </cell>
          <cell r="M35">
            <v>7544</v>
          </cell>
        </row>
        <row r="36">
          <cell r="B36">
            <v>5297</v>
          </cell>
          <cell r="C36">
            <v>5438</v>
          </cell>
          <cell r="D36">
            <v>5782</v>
          </cell>
          <cell r="G36">
            <v>3248</v>
          </cell>
          <cell r="H36">
            <v>4995</v>
          </cell>
          <cell r="I36">
            <v>6518</v>
          </cell>
          <cell r="K36">
            <v>7928</v>
          </cell>
          <cell r="L36">
            <v>10432</v>
          </cell>
          <cell r="M36">
            <v>12300</v>
          </cell>
        </row>
        <row r="37">
          <cell r="B37">
            <v>5164</v>
          </cell>
          <cell r="C37">
            <v>5186</v>
          </cell>
          <cell r="D37">
            <v>5074</v>
          </cell>
          <cell r="G37">
            <v>3145</v>
          </cell>
          <cell r="H37">
            <v>3307</v>
          </cell>
          <cell r="I37">
            <v>3192</v>
          </cell>
          <cell r="K37">
            <v>7856</v>
          </cell>
          <cell r="L37">
            <v>8492</v>
          </cell>
          <cell r="M37">
            <v>8266</v>
          </cell>
        </row>
        <row r="38">
          <cell r="B38">
            <v>4997</v>
          </cell>
          <cell r="C38">
            <v>4873</v>
          </cell>
          <cell r="D38">
            <v>4794</v>
          </cell>
          <cell r="G38">
            <v>3044</v>
          </cell>
          <cell r="H38">
            <v>3124</v>
          </cell>
          <cell r="I38">
            <v>3025</v>
          </cell>
          <cell r="K38">
            <v>7769</v>
          </cell>
          <cell r="L38">
            <v>7997</v>
          </cell>
          <cell r="M38">
            <v>7819</v>
          </cell>
        </row>
        <row r="39">
          <cell r="B39">
            <v>4826</v>
          </cell>
          <cell r="C39">
            <v>4627</v>
          </cell>
          <cell r="D39">
            <v>5112</v>
          </cell>
          <cell r="G39">
            <v>2948</v>
          </cell>
          <cell r="H39">
            <v>2912</v>
          </cell>
          <cell r="I39">
            <v>3216</v>
          </cell>
          <cell r="K39">
            <v>7656</v>
          </cell>
          <cell r="L39">
            <v>7539</v>
          </cell>
          <cell r="M39">
            <v>8328</v>
          </cell>
        </row>
        <row r="40">
          <cell r="B40">
            <v>4681</v>
          </cell>
          <cell r="C40">
            <v>4507</v>
          </cell>
          <cell r="D40">
            <v>3929</v>
          </cell>
          <cell r="G40">
            <v>2865</v>
          </cell>
          <cell r="H40">
            <v>2734</v>
          </cell>
          <cell r="I40">
            <v>2353</v>
          </cell>
          <cell r="K40">
            <v>7521</v>
          </cell>
          <cell r="L40">
            <v>7242</v>
          </cell>
          <cell r="M40">
            <v>6282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2"/>
    </sheetNames>
    <sheetDataSet>
      <sheetData sheetId="0">
        <row r="9">
          <cell r="C9">
            <v>52324</v>
          </cell>
          <cell r="D9">
            <v>52606</v>
          </cell>
          <cell r="E9">
            <v>54118</v>
          </cell>
        </row>
        <row r="10">
          <cell r="C10">
            <v>53345</v>
          </cell>
          <cell r="D10">
            <v>55306</v>
          </cell>
          <cell r="E10">
            <v>54457</v>
          </cell>
        </row>
        <row r="11">
          <cell r="C11">
            <v>54382</v>
          </cell>
          <cell r="D11">
            <v>53978</v>
          </cell>
          <cell r="E11">
            <v>54096</v>
          </cell>
        </row>
        <row r="12">
          <cell r="C12">
            <v>55435</v>
          </cell>
          <cell r="D12">
            <v>55493</v>
          </cell>
          <cell r="E12">
            <v>55672</v>
          </cell>
        </row>
        <row r="13">
          <cell r="C13">
            <v>56518</v>
          </cell>
          <cell r="D13">
            <v>56838</v>
          </cell>
          <cell r="E13">
            <v>56899</v>
          </cell>
        </row>
        <row r="14">
          <cell r="C14">
            <v>57647</v>
          </cell>
          <cell r="D14">
            <v>57609</v>
          </cell>
          <cell r="E14">
            <v>57098</v>
          </cell>
        </row>
        <row r="15">
          <cell r="C15">
            <v>58832</v>
          </cell>
          <cell r="D15">
            <v>58719</v>
          </cell>
          <cell r="E15">
            <v>58404</v>
          </cell>
        </row>
        <row r="16">
          <cell r="C16">
            <v>60067</v>
          </cell>
          <cell r="D16">
            <v>59117</v>
          </cell>
          <cell r="E16">
            <v>58705</v>
          </cell>
        </row>
        <row r="17">
          <cell r="C17">
            <v>61324</v>
          </cell>
          <cell r="D17">
            <v>61739</v>
          </cell>
          <cell r="E17">
            <v>61068</v>
          </cell>
        </row>
        <row r="18">
          <cell r="C18">
            <v>62560</v>
          </cell>
          <cell r="D18">
            <v>62671</v>
          </cell>
          <cell r="E18">
            <v>61581</v>
          </cell>
        </row>
        <row r="19">
          <cell r="C19">
            <v>63724</v>
          </cell>
          <cell r="D19">
            <v>63678</v>
          </cell>
          <cell r="E19">
            <v>64002</v>
          </cell>
        </row>
        <row r="20">
          <cell r="C20">
            <v>64763</v>
          </cell>
          <cell r="D20">
            <v>67512</v>
          </cell>
          <cell r="E20">
            <v>68995</v>
          </cell>
        </row>
        <row r="21">
          <cell r="C21">
            <v>65649</v>
          </cell>
          <cell r="D21">
            <v>66161</v>
          </cell>
          <cell r="E21">
            <v>68632</v>
          </cell>
        </row>
        <row r="22">
          <cell r="C22">
            <v>66380</v>
          </cell>
          <cell r="D22">
            <v>66074</v>
          </cell>
          <cell r="E22">
            <v>67910</v>
          </cell>
        </row>
        <row r="23">
          <cell r="C23">
            <v>66971</v>
          </cell>
          <cell r="D23">
            <v>67490</v>
          </cell>
          <cell r="E23">
            <v>67015</v>
          </cell>
        </row>
        <row r="24">
          <cell r="C24">
            <v>67452</v>
          </cell>
          <cell r="D24">
            <v>67448</v>
          </cell>
          <cell r="E24">
            <v>65876</v>
          </cell>
        </row>
        <row r="25">
          <cell r="C25">
            <v>67869</v>
          </cell>
          <cell r="D25">
            <v>67768</v>
          </cell>
          <cell r="E25">
            <v>66841</v>
          </cell>
        </row>
        <row r="26">
          <cell r="C26">
            <v>68270</v>
          </cell>
          <cell r="D26">
            <v>68610</v>
          </cell>
          <cell r="E26">
            <v>67619</v>
          </cell>
        </row>
        <row r="27">
          <cell r="C27">
            <v>68722</v>
          </cell>
          <cell r="D27">
            <v>69033</v>
          </cell>
          <cell r="E27">
            <v>68877</v>
          </cell>
        </row>
        <row r="28">
          <cell r="C28">
            <v>69302</v>
          </cell>
          <cell r="D28">
            <v>69532</v>
          </cell>
          <cell r="E28">
            <v>68952</v>
          </cell>
        </row>
        <row r="29">
          <cell r="C29">
            <v>70091</v>
          </cell>
          <cell r="D29">
            <v>69233</v>
          </cell>
          <cell r="E29">
            <v>69744</v>
          </cell>
        </row>
        <row r="30">
          <cell r="C30">
            <v>71145</v>
          </cell>
          <cell r="D30">
            <v>70349</v>
          </cell>
          <cell r="E30">
            <v>69943</v>
          </cell>
        </row>
        <row r="31">
          <cell r="C31">
            <v>72470</v>
          </cell>
          <cell r="D31">
            <v>72151</v>
          </cell>
          <cell r="E31">
            <v>71690</v>
          </cell>
        </row>
        <row r="32">
          <cell r="C32">
            <v>74015</v>
          </cell>
          <cell r="D32">
            <v>73614</v>
          </cell>
          <cell r="E32">
            <v>76349</v>
          </cell>
        </row>
        <row r="33">
          <cell r="C33">
            <v>75662</v>
          </cell>
          <cell r="D33">
            <v>75419</v>
          </cell>
          <cell r="E33">
            <v>77569</v>
          </cell>
        </row>
        <row r="34">
          <cell r="C34">
            <v>77241</v>
          </cell>
          <cell r="D34">
            <v>78293</v>
          </cell>
          <cell r="E34">
            <v>77506</v>
          </cell>
        </row>
        <row r="35">
          <cell r="C35">
            <v>78590</v>
          </cell>
          <cell r="D35">
            <v>79054</v>
          </cell>
          <cell r="E35">
            <v>78534</v>
          </cell>
        </row>
        <row r="36">
          <cell r="C36">
            <v>79596</v>
          </cell>
          <cell r="D36">
            <v>80346</v>
          </cell>
          <cell r="E36">
            <v>79408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לוח 3 table"/>
    </sheetNames>
    <sheetDataSet>
      <sheetData sheetId="0">
        <row r="36">
          <cell r="A36">
            <v>69</v>
          </cell>
          <cell r="B36">
            <v>932</v>
          </cell>
          <cell r="C36">
            <v>614</v>
          </cell>
          <cell r="D36">
            <v>1221</v>
          </cell>
          <cell r="E36">
            <v>398</v>
          </cell>
          <cell r="F36">
            <v>387</v>
          </cell>
          <cell r="G36">
            <v>337</v>
          </cell>
        </row>
        <row r="37">
          <cell r="A37">
            <v>46</v>
          </cell>
          <cell r="B37">
            <v>789</v>
          </cell>
          <cell r="C37">
            <v>629</v>
          </cell>
          <cell r="D37">
            <v>1164</v>
          </cell>
          <cell r="E37">
            <v>513</v>
          </cell>
          <cell r="F37">
            <v>355</v>
          </cell>
          <cell r="G37">
            <v>299</v>
          </cell>
        </row>
        <row r="38">
          <cell r="A38">
            <v>30</v>
          </cell>
          <cell r="B38">
            <v>856</v>
          </cell>
          <cell r="C38">
            <v>736</v>
          </cell>
          <cell r="D38">
            <v>1234</v>
          </cell>
          <cell r="E38">
            <v>467</v>
          </cell>
          <cell r="F38">
            <v>362</v>
          </cell>
          <cell r="G38">
            <v>272</v>
          </cell>
        </row>
        <row r="39">
          <cell r="A39">
            <v>25</v>
          </cell>
          <cell r="B39">
            <v>684</v>
          </cell>
          <cell r="C39">
            <v>703</v>
          </cell>
          <cell r="D39">
            <v>859</v>
          </cell>
          <cell r="E39">
            <v>459</v>
          </cell>
          <cell r="F39">
            <v>460</v>
          </cell>
          <cell r="G39">
            <v>316</v>
          </cell>
        </row>
        <row r="40">
          <cell r="A40">
            <v>37</v>
          </cell>
          <cell r="B40">
            <v>738</v>
          </cell>
          <cell r="C40">
            <v>794</v>
          </cell>
          <cell r="D40">
            <v>970</v>
          </cell>
          <cell r="E40">
            <v>523</v>
          </cell>
          <cell r="F40">
            <v>494</v>
          </cell>
          <cell r="G40">
            <v>365</v>
          </cell>
        </row>
        <row r="41">
          <cell r="A41">
            <v>40</v>
          </cell>
          <cell r="B41">
            <v>841</v>
          </cell>
          <cell r="C41">
            <v>920</v>
          </cell>
          <cell r="D41">
            <v>858</v>
          </cell>
          <cell r="E41">
            <v>391</v>
          </cell>
          <cell r="F41">
            <v>442</v>
          </cell>
          <cell r="G41">
            <v>295</v>
          </cell>
        </row>
        <row r="42">
          <cell r="A42">
            <v>40</v>
          </cell>
          <cell r="B42">
            <v>1021</v>
          </cell>
          <cell r="C42">
            <v>727</v>
          </cell>
          <cell r="D42">
            <v>827</v>
          </cell>
          <cell r="E42">
            <v>447</v>
          </cell>
          <cell r="F42">
            <v>517</v>
          </cell>
          <cell r="G42">
            <v>443</v>
          </cell>
        </row>
        <row r="43">
          <cell r="A43">
            <v>44</v>
          </cell>
          <cell r="B43">
            <v>758</v>
          </cell>
          <cell r="C43">
            <v>710</v>
          </cell>
          <cell r="D43">
            <v>821</v>
          </cell>
          <cell r="E43">
            <v>389</v>
          </cell>
          <cell r="F43">
            <v>356</v>
          </cell>
          <cell r="G43">
            <v>409</v>
          </cell>
        </row>
        <row r="44">
          <cell r="A44">
            <v>69</v>
          </cell>
          <cell r="B44">
            <v>944</v>
          </cell>
          <cell r="C44">
            <v>718</v>
          </cell>
          <cell r="D44">
            <v>852</v>
          </cell>
          <cell r="E44">
            <v>483</v>
          </cell>
          <cell r="F44">
            <v>226</v>
          </cell>
          <cell r="G44">
            <v>444</v>
          </cell>
        </row>
        <row r="45">
          <cell r="A45">
            <v>39</v>
          </cell>
          <cell r="B45">
            <v>633</v>
          </cell>
          <cell r="C45">
            <v>416</v>
          </cell>
          <cell r="D45">
            <v>610</v>
          </cell>
          <cell r="E45">
            <v>267</v>
          </cell>
          <cell r="F45">
            <v>239</v>
          </cell>
          <cell r="G45">
            <v>194</v>
          </cell>
        </row>
        <row r="46">
          <cell r="A46">
            <v>61</v>
          </cell>
          <cell r="B46">
            <v>791</v>
          </cell>
          <cell r="C46">
            <v>562</v>
          </cell>
          <cell r="D46">
            <v>769</v>
          </cell>
          <cell r="E46">
            <v>356</v>
          </cell>
          <cell r="F46">
            <v>333</v>
          </cell>
          <cell r="G46">
            <v>258</v>
          </cell>
        </row>
        <row r="47">
          <cell r="A47">
            <v>106</v>
          </cell>
          <cell r="B47">
            <v>1692</v>
          </cell>
          <cell r="C47">
            <v>1331</v>
          </cell>
          <cell r="D47">
            <v>1484</v>
          </cell>
          <cell r="E47">
            <v>721</v>
          </cell>
          <cell r="F47">
            <v>639</v>
          </cell>
          <cell r="G47">
            <v>545</v>
          </cell>
        </row>
        <row r="48">
          <cell r="A48">
            <v>46</v>
          </cell>
          <cell r="B48">
            <v>711</v>
          </cell>
          <cell r="C48">
            <v>568</v>
          </cell>
          <cell r="D48">
            <v>979</v>
          </cell>
          <cell r="E48">
            <v>316</v>
          </cell>
          <cell r="F48">
            <v>321</v>
          </cell>
          <cell r="G48">
            <v>251</v>
          </cell>
        </row>
        <row r="49">
          <cell r="A49">
            <v>35</v>
          </cell>
          <cell r="B49">
            <v>625</v>
          </cell>
          <cell r="C49">
            <v>579</v>
          </cell>
          <cell r="D49">
            <v>873</v>
          </cell>
          <cell r="E49">
            <v>340</v>
          </cell>
          <cell r="F49">
            <v>243</v>
          </cell>
          <cell r="G49">
            <v>328</v>
          </cell>
        </row>
        <row r="50">
          <cell r="A50">
            <v>45</v>
          </cell>
          <cell r="B50">
            <v>642</v>
          </cell>
          <cell r="C50">
            <v>653</v>
          </cell>
          <cell r="D50">
            <v>877</v>
          </cell>
          <cell r="E50">
            <v>334</v>
          </cell>
          <cell r="F50">
            <v>408</v>
          </cell>
          <cell r="G50">
            <v>230</v>
          </cell>
        </row>
        <row r="51">
          <cell r="A51">
            <v>25</v>
          </cell>
          <cell r="B51">
            <v>739</v>
          </cell>
          <cell r="C51">
            <v>327</v>
          </cell>
          <cell r="D51">
            <v>701</v>
          </cell>
          <cell r="E51">
            <v>172</v>
          </cell>
          <cell r="F51">
            <v>212</v>
          </cell>
          <cell r="G51">
            <v>159</v>
          </cell>
        </row>
        <row r="90">
          <cell r="A90">
            <v>159</v>
          </cell>
          <cell r="B90">
            <v>947</v>
          </cell>
          <cell r="C90">
            <v>676</v>
          </cell>
          <cell r="D90">
            <v>1148</v>
          </cell>
          <cell r="E90">
            <v>902</v>
          </cell>
          <cell r="F90">
            <v>566</v>
          </cell>
          <cell r="G90">
            <v>426</v>
          </cell>
        </row>
        <row r="91">
          <cell r="A91">
            <v>168</v>
          </cell>
          <cell r="B91">
            <v>905</v>
          </cell>
          <cell r="C91">
            <v>714</v>
          </cell>
          <cell r="D91">
            <v>1059</v>
          </cell>
          <cell r="E91">
            <v>817</v>
          </cell>
          <cell r="F91">
            <v>504</v>
          </cell>
          <cell r="G91">
            <v>433</v>
          </cell>
        </row>
        <row r="92">
          <cell r="A92">
            <v>147</v>
          </cell>
          <cell r="B92">
            <v>915</v>
          </cell>
          <cell r="C92">
            <v>733</v>
          </cell>
          <cell r="D92">
            <v>1126</v>
          </cell>
          <cell r="E92">
            <v>901</v>
          </cell>
          <cell r="F92">
            <v>529</v>
          </cell>
          <cell r="G92">
            <v>442</v>
          </cell>
        </row>
        <row r="93">
          <cell r="A93">
            <v>103</v>
          </cell>
          <cell r="B93">
            <v>839</v>
          </cell>
          <cell r="C93">
            <v>685</v>
          </cell>
          <cell r="D93">
            <v>1101</v>
          </cell>
          <cell r="E93">
            <v>763</v>
          </cell>
          <cell r="F93">
            <v>431</v>
          </cell>
          <cell r="G93">
            <v>406</v>
          </cell>
        </row>
        <row r="94">
          <cell r="A94">
            <v>162</v>
          </cell>
          <cell r="B94">
            <v>896</v>
          </cell>
          <cell r="C94">
            <v>648</v>
          </cell>
          <cell r="D94">
            <v>1131</v>
          </cell>
          <cell r="E94">
            <v>815</v>
          </cell>
          <cell r="F94">
            <v>524</v>
          </cell>
          <cell r="G94">
            <v>373</v>
          </cell>
        </row>
        <row r="95">
          <cell r="A95">
            <v>160</v>
          </cell>
          <cell r="B95">
            <v>996</v>
          </cell>
          <cell r="C95">
            <v>734</v>
          </cell>
          <cell r="D95">
            <v>1171</v>
          </cell>
          <cell r="E95">
            <v>889</v>
          </cell>
          <cell r="F95">
            <v>620</v>
          </cell>
          <cell r="G95">
            <v>454</v>
          </cell>
        </row>
        <row r="96">
          <cell r="A96">
            <v>196</v>
          </cell>
          <cell r="B96">
            <v>1103</v>
          </cell>
          <cell r="C96">
            <v>868</v>
          </cell>
          <cell r="D96">
            <v>1292</v>
          </cell>
          <cell r="E96">
            <v>974</v>
          </cell>
          <cell r="F96">
            <v>698</v>
          </cell>
          <cell r="G96">
            <v>546</v>
          </cell>
        </row>
        <row r="97">
          <cell r="A97">
            <v>158</v>
          </cell>
          <cell r="B97">
            <v>900</v>
          </cell>
          <cell r="C97">
            <v>671</v>
          </cell>
          <cell r="D97">
            <v>1044</v>
          </cell>
          <cell r="E97">
            <v>793</v>
          </cell>
          <cell r="F97">
            <v>517</v>
          </cell>
          <cell r="G97">
            <v>413</v>
          </cell>
        </row>
        <row r="98">
          <cell r="A98">
            <v>193</v>
          </cell>
          <cell r="B98">
            <v>1051</v>
          </cell>
          <cell r="C98">
            <v>753</v>
          </cell>
          <cell r="D98">
            <v>1181</v>
          </cell>
          <cell r="E98">
            <v>1059</v>
          </cell>
          <cell r="F98">
            <v>541</v>
          </cell>
          <cell r="G98">
            <v>486</v>
          </cell>
        </row>
        <row r="99">
          <cell r="A99">
            <v>86</v>
          </cell>
          <cell r="B99">
            <v>669</v>
          </cell>
          <cell r="C99">
            <v>485</v>
          </cell>
          <cell r="D99">
            <v>731</v>
          </cell>
          <cell r="E99">
            <v>586</v>
          </cell>
          <cell r="F99">
            <v>358</v>
          </cell>
          <cell r="G99">
            <v>277</v>
          </cell>
        </row>
        <row r="100">
          <cell r="A100">
            <v>120</v>
          </cell>
          <cell r="B100">
            <v>934</v>
          </cell>
          <cell r="C100">
            <v>689</v>
          </cell>
          <cell r="D100">
            <v>1035</v>
          </cell>
          <cell r="E100">
            <v>745</v>
          </cell>
          <cell r="F100">
            <v>477</v>
          </cell>
          <cell r="G100">
            <v>415</v>
          </cell>
        </row>
        <row r="101">
          <cell r="A101">
            <v>186</v>
          </cell>
          <cell r="B101">
            <v>1164</v>
          </cell>
          <cell r="C101">
            <v>916</v>
          </cell>
          <cell r="D101">
            <v>1343</v>
          </cell>
          <cell r="E101">
            <v>970</v>
          </cell>
          <cell r="F101">
            <v>674</v>
          </cell>
          <cell r="G101">
            <v>528</v>
          </cell>
        </row>
        <row r="102">
          <cell r="A102">
            <v>151</v>
          </cell>
          <cell r="B102">
            <v>1030</v>
          </cell>
          <cell r="C102">
            <v>731</v>
          </cell>
          <cell r="D102">
            <v>1156</v>
          </cell>
          <cell r="E102">
            <v>819</v>
          </cell>
          <cell r="F102">
            <v>710</v>
          </cell>
          <cell r="G102">
            <v>476</v>
          </cell>
        </row>
        <row r="103">
          <cell r="A103">
            <v>172</v>
          </cell>
          <cell r="B103">
            <v>950</v>
          </cell>
          <cell r="C103">
            <v>717</v>
          </cell>
          <cell r="D103">
            <v>1114</v>
          </cell>
          <cell r="E103">
            <v>793</v>
          </cell>
          <cell r="F103">
            <v>592</v>
          </cell>
          <cell r="G103">
            <v>454</v>
          </cell>
        </row>
        <row r="104">
          <cell r="A104">
            <v>161</v>
          </cell>
          <cell r="B104">
            <v>1033</v>
          </cell>
          <cell r="C104">
            <v>791</v>
          </cell>
          <cell r="D104">
            <v>1230</v>
          </cell>
          <cell r="E104">
            <v>859</v>
          </cell>
          <cell r="F104">
            <v>535</v>
          </cell>
          <cell r="G104">
            <v>502</v>
          </cell>
        </row>
        <row r="105">
          <cell r="A105">
            <v>112</v>
          </cell>
          <cell r="B105">
            <v>792</v>
          </cell>
          <cell r="C105">
            <v>644</v>
          </cell>
          <cell r="D105">
            <v>928</v>
          </cell>
          <cell r="E105">
            <v>697</v>
          </cell>
          <cell r="F105">
            <v>436</v>
          </cell>
          <cell r="G105">
            <v>318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M43"/>
  <sheetViews>
    <sheetView tabSelected="1" zoomScale="70" zoomScaleNormal="70" workbookViewId="0">
      <selection activeCell="O54" sqref="O54"/>
    </sheetView>
  </sheetViews>
  <sheetFormatPr defaultRowHeight="14" x14ac:dyDescent="0.3"/>
  <cols>
    <col min="21" max="21" width="9.1640625" customWidth="1"/>
  </cols>
  <sheetData>
    <row r="1" spans="1:39" ht="42" x14ac:dyDescent="0.3">
      <c r="A1" s="4" t="s">
        <v>59</v>
      </c>
      <c r="B1" s="4" t="s">
        <v>60</v>
      </c>
      <c r="C1" s="4" t="s">
        <v>0</v>
      </c>
      <c r="D1" s="4" t="s">
        <v>1</v>
      </c>
      <c r="E1" s="4" t="s">
        <v>2</v>
      </c>
      <c r="F1" s="2" t="s">
        <v>61</v>
      </c>
      <c r="G1" s="2" t="s">
        <v>92</v>
      </c>
      <c r="H1" s="2" t="s">
        <v>62</v>
      </c>
      <c r="I1" s="2" t="s">
        <v>63</v>
      </c>
      <c r="J1" s="2" t="s">
        <v>93</v>
      </c>
      <c r="K1" s="2" t="s">
        <v>64</v>
      </c>
      <c r="L1" s="2" t="s">
        <v>65</v>
      </c>
      <c r="M1" s="2" t="s">
        <v>94</v>
      </c>
      <c r="N1" s="2" t="s">
        <v>66</v>
      </c>
      <c r="O1" s="2" t="s">
        <v>67</v>
      </c>
      <c r="P1" s="5" t="s">
        <v>68</v>
      </c>
      <c r="Q1" s="5" t="s">
        <v>69</v>
      </c>
      <c r="R1" s="5" t="s">
        <v>70</v>
      </c>
      <c r="S1" s="6" t="s">
        <v>71</v>
      </c>
      <c r="T1" s="6" t="s">
        <v>72</v>
      </c>
      <c r="U1" s="6" t="s">
        <v>73</v>
      </c>
      <c r="V1" s="6" t="s">
        <v>74</v>
      </c>
      <c r="W1" s="6" t="s">
        <v>75</v>
      </c>
      <c r="X1" s="6" t="s">
        <v>76</v>
      </c>
      <c r="Y1" s="6" t="s">
        <v>77</v>
      </c>
      <c r="Z1" s="6" t="s">
        <v>78</v>
      </c>
      <c r="AA1" s="6" t="s">
        <v>79</v>
      </c>
      <c r="AB1" s="6" t="s">
        <v>80</v>
      </c>
      <c r="AC1" s="6" t="s">
        <v>81</v>
      </c>
      <c r="AD1" s="6" t="s">
        <v>82</v>
      </c>
      <c r="AE1" s="6" t="s">
        <v>83</v>
      </c>
      <c r="AF1" s="6" t="s">
        <v>84</v>
      </c>
      <c r="AG1" s="6" t="s">
        <v>85</v>
      </c>
      <c r="AH1" s="6" t="s">
        <v>86</v>
      </c>
      <c r="AI1" s="6" t="s">
        <v>87</v>
      </c>
      <c r="AJ1" s="6" t="s">
        <v>88</v>
      </c>
      <c r="AK1" s="6" t="s">
        <v>89</v>
      </c>
      <c r="AL1" s="6" t="s">
        <v>90</v>
      </c>
      <c r="AM1" s="6" t="s">
        <v>91</v>
      </c>
    </row>
    <row r="2" spans="1:39" x14ac:dyDescent="0.3">
      <c r="A2" t="s">
        <v>7</v>
      </c>
      <c r="B2" t="s">
        <v>8</v>
      </c>
      <c r="C2">
        <v>2022</v>
      </c>
      <c r="D2">
        <v>1</v>
      </c>
      <c r="E2" t="s">
        <v>3</v>
      </c>
      <c r="F2" s="3">
        <v>0.1</v>
      </c>
      <c r="G2" s="1">
        <v>10577</v>
      </c>
      <c r="H2" s="1">
        <v>10420.0419921875</v>
      </c>
      <c r="I2" s="1">
        <v>10747.2978515625</v>
      </c>
      <c r="J2" s="1">
        <v>4380</v>
      </c>
      <c r="K2" s="1">
        <v>4343.09228515625</v>
      </c>
      <c r="L2" s="1">
        <v>4378.35791015625</v>
      </c>
      <c r="M2" s="1">
        <v>6197</v>
      </c>
      <c r="N2" s="1">
        <v>6076.9501953125</v>
      </c>
      <c r="O2" s="1">
        <v>6326.53466796875</v>
      </c>
      <c r="P2" s="1">
        <v>44591</v>
      </c>
      <c r="Q2" s="1">
        <v>44609.580065015703</v>
      </c>
      <c r="R2" s="1">
        <v>45202.093193963003</v>
      </c>
      <c r="S2" s="1">
        <v>926</v>
      </c>
      <c r="T2">
        <v>370</v>
      </c>
      <c r="U2">
        <v>556</v>
      </c>
      <c r="V2" s="1">
        <v>1297</v>
      </c>
      <c r="W2">
        <v>493</v>
      </c>
      <c r="X2">
        <v>804</v>
      </c>
      <c r="Y2" s="1">
        <v>1597</v>
      </c>
      <c r="Z2">
        <v>421</v>
      </c>
      <c r="AA2">
        <v>1176</v>
      </c>
      <c r="AB2" s="1">
        <v>2923</v>
      </c>
      <c r="AC2">
        <v>1319</v>
      </c>
      <c r="AD2">
        <v>1604</v>
      </c>
      <c r="AE2" s="1">
        <v>1853</v>
      </c>
      <c r="AF2">
        <v>757</v>
      </c>
      <c r="AG2">
        <v>1096</v>
      </c>
      <c r="AH2" s="1">
        <v>2164</v>
      </c>
      <c r="AI2">
        <v>793</v>
      </c>
      <c r="AJ2">
        <v>1371</v>
      </c>
      <c r="AK2" s="1">
        <v>478</v>
      </c>
      <c r="AL2">
        <v>195</v>
      </c>
      <c r="AM2">
        <v>283</v>
      </c>
    </row>
    <row r="3" spans="1:39" x14ac:dyDescent="0.3">
      <c r="A3" t="s">
        <v>9</v>
      </c>
      <c r="B3" t="s">
        <v>8</v>
      </c>
      <c r="C3">
        <v>2022</v>
      </c>
      <c r="D3">
        <v>2</v>
      </c>
      <c r="E3" t="s">
        <v>3</v>
      </c>
      <c r="F3" s="3">
        <v>0.1</v>
      </c>
      <c r="G3" s="1">
        <v>9785</v>
      </c>
      <c r="H3" s="1">
        <v>9860.16796875</v>
      </c>
      <c r="I3" s="1">
        <v>10325.8935546875</v>
      </c>
      <c r="J3" s="1">
        <v>3603</v>
      </c>
      <c r="K3" s="1">
        <v>3599.21752929688</v>
      </c>
      <c r="L3" s="1">
        <v>4164.66552734375</v>
      </c>
      <c r="M3" s="1">
        <v>6182</v>
      </c>
      <c r="N3" s="1">
        <v>6260.95068359375</v>
      </c>
      <c r="O3" s="1">
        <v>6105.35693359375</v>
      </c>
      <c r="P3" s="1">
        <v>44566</v>
      </c>
      <c r="Q3" s="1">
        <v>45084.914877936397</v>
      </c>
      <c r="R3" s="1">
        <v>45069.907846170601</v>
      </c>
      <c r="S3" s="1">
        <v>950</v>
      </c>
      <c r="T3">
        <v>342</v>
      </c>
      <c r="U3">
        <v>608</v>
      </c>
      <c r="V3" s="1">
        <v>1054</v>
      </c>
      <c r="W3">
        <v>261</v>
      </c>
      <c r="X3">
        <v>793</v>
      </c>
      <c r="Y3" s="1">
        <v>1562</v>
      </c>
      <c r="Z3">
        <v>410</v>
      </c>
      <c r="AA3">
        <v>1152</v>
      </c>
      <c r="AB3" s="1">
        <v>2348</v>
      </c>
      <c r="AC3">
        <v>854</v>
      </c>
      <c r="AD3">
        <v>1494</v>
      </c>
      <c r="AE3" s="1">
        <v>1750</v>
      </c>
      <c r="AF3">
        <v>645</v>
      </c>
      <c r="AG3">
        <v>1105</v>
      </c>
      <c r="AH3" s="1">
        <v>2116</v>
      </c>
      <c r="AI3">
        <v>733</v>
      </c>
      <c r="AJ3">
        <v>1383</v>
      </c>
      <c r="AK3" s="1">
        <v>400</v>
      </c>
      <c r="AL3">
        <v>165</v>
      </c>
      <c r="AM3">
        <v>235</v>
      </c>
    </row>
    <row r="4" spans="1:39" x14ac:dyDescent="0.3">
      <c r="A4" t="s">
        <v>10</v>
      </c>
      <c r="B4" t="s">
        <v>8</v>
      </c>
      <c r="C4">
        <v>2022</v>
      </c>
      <c r="D4">
        <v>3</v>
      </c>
      <c r="E4" t="s">
        <v>3</v>
      </c>
      <c r="F4" s="3">
        <v>0.1</v>
      </c>
      <c r="G4" s="1">
        <v>11591</v>
      </c>
      <c r="H4" s="1">
        <v>10037.0810546875</v>
      </c>
      <c r="I4" s="1">
        <v>9901.26953125</v>
      </c>
      <c r="J4" s="1">
        <v>4810</v>
      </c>
      <c r="K4" s="1">
        <v>4156.8525390625</v>
      </c>
      <c r="L4" s="1">
        <v>3962.71264648438</v>
      </c>
      <c r="M4" s="1">
        <v>6781</v>
      </c>
      <c r="N4" s="1">
        <v>5880.228515625</v>
      </c>
      <c r="O4" s="1">
        <v>5888.7880859375</v>
      </c>
      <c r="P4" s="1">
        <v>44610</v>
      </c>
      <c r="Q4" s="1">
        <v>44915.807221030402</v>
      </c>
      <c r="R4" s="1">
        <v>45096.910565008999</v>
      </c>
      <c r="S4" s="1">
        <v>1189</v>
      </c>
      <c r="T4">
        <v>557</v>
      </c>
      <c r="U4">
        <v>632</v>
      </c>
      <c r="V4" s="1">
        <v>1368</v>
      </c>
      <c r="W4">
        <v>443</v>
      </c>
      <c r="X4">
        <v>925</v>
      </c>
      <c r="Y4" s="1">
        <v>1830</v>
      </c>
      <c r="Z4">
        <v>474</v>
      </c>
      <c r="AA4">
        <v>1356</v>
      </c>
      <c r="AB4" s="1">
        <v>2695</v>
      </c>
      <c r="AC4">
        <v>1038</v>
      </c>
      <c r="AD4">
        <v>1657</v>
      </c>
      <c r="AE4" s="1">
        <v>2083</v>
      </c>
      <c r="AF4">
        <v>895</v>
      </c>
      <c r="AG4">
        <v>1188</v>
      </c>
      <c r="AH4" s="1">
        <v>2641</v>
      </c>
      <c r="AI4">
        <v>1103</v>
      </c>
      <c r="AJ4">
        <v>1538</v>
      </c>
      <c r="AK4" s="1">
        <v>350</v>
      </c>
      <c r="AL4">
        <v>112</v>
      </c>
      <c r="AM4">
        <v>238</v>
      </c>
    </row>
    <row r="5" spans="1:39" x14ac:dyDescent="0.3">
      <c r="A5" t="s">
        <v>11</v>
      </c>
      <c r="B5" t="s">
        <v>12</v>
      </c>
      <c r="C5">
        <v>2022</v>
      </c>
      <c r="D5">
        <v>4</v>
      </c>
      <c r="E5" t="s">
        <v>4</v>
      </c>
      <c r="F5" s="3">
        <v>0.35</v>
      </c>
      <c r="G5" s="1">
        <v>8197</v>
      </c>
      <c r="H5" s="1">
        <v>9627.1611328125</v>
      </c>
      <c r="I5" s="1">
        <v>9465.09765625</v>
      </c>
      <c r="J5" s="1">
        <v>3328</v>
      </c>
      <c r="K5" s="1">
        <v>3775.861328125</v>
      </c>
      <c r="L5" s="1">
        <v>3768.88427734375</v>
      </c>
      <c r="M5" s="1">
        <v>4869</v>
      </c>
      <c r="N5" s="1">
        <v>5851.30029296875</v>
      </c>
      <c r="O5" s="1">
        <v>5670.4267578125</v>
      </c>
      <c r="P5" s="1">
        <v>43927</v>
      </c>
      <c r="Q5" s="1">
        <v>44887.488858024699</v>
      </c>
      <c r="R5" s="1">
        <v>45302.597736912801</v>
      </c>
      <c r="S5" s="1">
        <v>794</v>
      </c>
      <c r="T5">
        <v>377</v>
      </c>
      <c r="U5">
        <v>417</v>
      </c>
      <c r="V5" s="1">
        <v>927</v>
      </c>
      <c r="W5">
        <v>272</v>
      </c>
      <c r="X5">
        <v>655</v>
      </c>
      <c r="Y5" s="1">
        <v>1411</v>
      </c>
      <c r="Z5">
        <v>435</v>
      </c>
      <c r="AA5">
        <v>976</v>
      </c>
      <c r="AB5" s="1">
        <v>1947</v>
      </c>
      <c r="AC5">
        <v>694</v>
      </c>
      <c r="AD5">
        <v>1253</v>
      </c>
      <c r="AE5" s="1">
        <v>1604</v>
      </c>
      <c r="AF5">
        <v>725</v>
      </c>
      <c r="AG5">
        <v>879</v>
      </c>
      <c r="AH5" s="1">
        <v>1649</v>
      </c>
      <c r="AI5">
        <v>554</v>
      </c>
      <c r="AJ5">
        <v>1095</v>
      </c>
      <c r="AK5" s="1">
        <v>295</v>
      </c>
      <c r="AL5">
        <v>141</v>
      </c>
      <c r="AM5">
        <v>154</v>
      </c>
    </row>
    <row r="6" spans="1:39" x14ac:dyDescent="0.3">
      <c r="A6" t="s">
        <v>13</v>
      </c>
      <c r="B6" t="s">
        <v>12</v>
      </c>
      <c r="C6">
        <v>2022</v>
      </c>
      <c r="D6">
        <v>5</v>
      </c>
      <c r="E6" t="s">
        <v>4</v>
      </c>
      <c r="F6" s="3">
        <v>0.75</v>
      </c>
      <c r="G6" s="1">
        <v>9965</v>
      </c>
      <c r="H6" s="1">
        <v>9481.2470703125</v>
      </c>
      <c r="I6" s="1">
        <v>9009.8896484375</v>
      </c>
      <c r="J6" s="1">
        <v>4191</v>
      </c>
      <c r="K6" s="1">
        <v>3860.99926757813</v>
      </c>
      <c r="L6" s="1">
        <v>3575.14624023438</v>
      </c>
      <c r="M6" s="1">
        <v>5774</v>
      </c>
      <c r="N6" s="1">
        <v>5620.248046875</v>
      </c>
      <c r="O6" s="1">
        <v>5443.3671875</v>
      </c>
      <c r="P6" s="1">
        <v>45669</v>
      </c>
      <c r="Q6" s="1">
        <v>45626.724609324403</v>
      </c>
      <c r="R6" s="1">
        <v>45682.846007935303</v>
      </c>
      <c r="S6" s="1">
        <v>742</v>
      </c>
      <c r="T6">
        <v>248</v>
      </c>
      <c r="U6">
        <v>494</v>
      </c>
      <c r="V6" s="1">
        <v>1173</v>
      </c>
      <c r="W6">
        <v>360</v>
      </c>
      <c r="X6">
        <v>813</v>
      </c>
      <c r="Y6" s="1">
        <v>1592</v>
      </c>
      <c r="Z6">
        <v>430</v>
      </c>
      <c r="AA6">
        <v>1162</v>
      </c>
      <c r="AB6" s="1">
        <v>2314</v>
      </c>
      <c r="AC6">
        <v>921</v>
      </c>
      <c r="AD6">
        <v>1393</v>
      </c>
      <c r="AE6" s="1">
        <v>1841</v>
      </c>
      <c r="AF6">
        <v>834</v>
      </c>
      <c r="AG6">
        <v>1007</v>
      </c>
      <c r="AH6" s="1">
        <v>2198</v>
      </c>
      <c r="AI6">
        <v>842</v>
      </c>
      <c r="AJ6">
        <v>1356</v>
      </c>
      <c r="AK6" s="1">
        <v>375</v>
      </c>
      <c r="AL6">
        <v>164</v>
      </c>
      <c r="AM6">
        <v>211</v>
      </c>
    </row>
    <row r="7" spans="1:39" x14ac:dyDescent="0.3">
      <c r="A7" t="s">
        <v>14</v>
      </c>
      <c r="B7" t="s">
        <v>12</v>
      </c>
      <c r="C7">
        <v>2022</v>
      </c>
      <c r="D7">
        <v>6</v>
      </c>
      <c r="E7" t="s">
        <v>4</v>
      </c>
      <c r="F7" s="3">
        <v>0.75</v>
      </c>
      <c r="G7" s="1">
        <v>9488</v>
      </c>
      <c r="H7" s="1">
        <v>8510.599609375</v>
      </c>
      <c r="I7" s="1">
        <v>8538.7041015625</v>
      </c>
      <c r="J7" s="1">
        <v>3655</v>
      </c>
      <c r="K7" s="1">
        <v>3510.41650390625</v>
      </c>
      <c r="L7" s="1">
        <v>3375.13745117188</v>
      </c>
      <c r="M7" s="1">
        <v>5833</v>
      </c>
      <c r="N7" s="1">
        <v>5000.18310546875</v>
      </c>
      <c r="O7" s="1">
        <v>5205.00537109375</v>
      </c>
      <c r="P7" s="1">
        <v>46078</v>
      </c>
      <c r="Q7" s="1">
        <v>46292.092650037499</v>
      </c>
      <c r="R7" s="1">
        <v>46206.732619885202</v>
      </c>
      <c r="S7" s="1">
        <v>824</v>
      </c>
      <c r="T7">
        <v>293</v>
      </c>
      <c r="U7">
        <v>531</v>
      </c>
      <c r="V7" s="1">
        <v>1151</v>
      </c>
      <c r="W7">
        <v>303</v>
      </c>
      <c r="X7">
        <v>848</v>
      </c>
      <c r="Y7" s="1">
        <v>1542</v>
      </c>
      <c r="Z7">
        <v>392</v>
      </c>
      <c r="AA7">
        <v>1150</v>
      </c>
      <c r="AB7" s="1">
        <v>2546</v>
      </c>
      <c r="AC7">
        <v>1078</v>
      </c>
      <c r="AD7">
        <v>1468</v>
      </c>
      <c r="AE7" s="1">
        <v>1716</v>
      </c>
      <c r="AF7">
        <v>777</v>
      </c>
      <c r="AG7">
        <v>939</v>
      </c>
      <c r="AH7" s="1">
        <v>1968</v>
      </c>
      <c r="AI7">
        <v>626</v>
      </c>
      <c r="AJ7">
        <v>1342</v>
      </c>
      <c r="AK7" s="1">
        <v>285</v>
      </c>
      <c r="AL7">
        <v>64</v>
      </c>
      <c r="AM7">
        <v>221</v>
      </c>
    </row>
    <row r="8" spans="1:39" x14ac:dyDescent="0.3">
      <c r="A8" t="s">
        <v>15</v>
      </c>
      <c r="B8" t="s">
        <v>16</v>
      </c>
      <c r="C8">
        <v>2022</v>
      </c>
      <c r="D8">
        <v>7</v>
      </c>
      <c r="E8" t="s">
        <v>5</v>
      </c>
      <c r="F8" s="3">
        <v>1.25</v>
      </c>
      <c r="G8" s="1">
        <v>8422</v>
      </c>
      <c r="H8" s="1">
        <v>7999.81787109375</v>
      </c>
      <c r="I8" s="1">
        <v>8066.97998046875</v>
      </c>
      <c r="J8" s="1">
        <v>2827</v>
      </c>
      <c r="K8" s="1">
        <v>2991.32275390625</v>
      </c>
      <c r="L8" s="1">
        <v>3171.18481445313</v>
      </c>
      <c r="M8" s="1">
        <v>5595</v>
      </c>
      <c r="N8" s="1">
        <v>5008.4951171875</v>
      </c>
      <c r="O8" s="1">
        <v>4958.0927734375</v>
      </c>
      <c r="P8" s="1">
        <v>47280</v>
      </c>
      <c r="Q8" s="1">
        <v>47812.480204965897</v>
      </c>
      <c r="R8" s="1">
        <v>46838.607263108599</v>
      </c>
      <c r="S8" s="1">
        <v>1003</v>
      </c>
      <c r="T8">
        <v>476</v>
      </c>
      <c r="U8">
        <v>527</v>
      </c>
      <c r="V8" s="1">
        <v>1218</v>
      </c>
      <c r="W8">
        <v>356</v>
      </c>
      <c r="X8">
        <v>862</v>
      </c>
      <c r="Y8" s="1">
        <v>1461</v>
      </c>
      <c r="Z8">
        <v>330</v>
      </c>
      <c r="AA8">
        <v>1131</v>
      </c>
      <c r="AB8" s="1">
        <v>1881</v>
      </c>
      <c r="AC8">
        <v>572</v>
      </c>
      <c r="AD8">
        <v>1309</v>
      </c>
      <c r="AE8" s="1">
        <v>1476</v>
      </c>
      <c r="AF8">
        <v>567</v>
      </c>
      <c r="AG8">
        <v>909</v>
      </c>
      <c r="AH8" s="1">
        <v>1733</v>
      </c>
      <c r="AI8">
        <v>428</v>
      </c>
      <c r="AJ8">
        <v>1305</v>
      </c>
      <c r="AK8" s="1">
        <v>369</v>
      </c>
      <c r="AL8">
        <v>135</v>
      </c>
      <c r="AM8">
        <v>234</v>
      </c>
    </row>
    <row r="9" spans="1:39" x14ac:dyDescent="0.3">
      <c r="A9" t="s">
        <v>17</v>
      </c>
      <c r="B9" t="s">
        <v>16</v>
      </c>
      <c r="C9">
        <v>2022</v>
      </c>
      <c r="D9">
        <v>8</v>
      </c>
      <c r="E9" t="s">
        <v>5</v>
      </c>
      <c r="F9" s="3">
        <v>2</v>
      </c>
      <c r="G9" s="1">
        <v>7478</v>
      </c>
      <c r="H9" s="1">
        <v>7440.47705078125</v>
      </c>
      <c r="I9" s="1">
        <v>7621.37890625</v>
      </c>
      <c r="J9" s="1">
        <v>2833</v>
      </c>
      <c r="K9" s="1">
        <v>2864.56103515625</v>
      </c>
      <c r="L9" s="1">
        <v>2975.07495117188</v>
      </c>
      <c r="M9" s="1">
        <v>4645</v>
      </c>
      <c r="N9" s="1">
        <v>4575.916015625</v>
      </c>
      <c r="O9" s="1">
        <v>4709.4404296875</v>
      </c>
      <c r="P9" s="1">
        <v>47936</v>
      </c>
      <c r="Q9" s="1">
        <v>47582.596069089603</v>
      </c>
      <c r="R9" s="1">
        <v>47551.456928531297</v>
      </c>
      <c r="S9" s="1">
        <v>672</v>
      </c>
      <c r="T9">
        <v>277</v>
      </c>
      <c r="U9">
        <v>395</v>
      </c>
      <c r="V9" s="1">
        <v>1039</v>
      </c>
      <c r="W9">
        <v>322</v>
      </c>
      <c r="X9">
        <v>717</v>
      </c>
      <c r="Y9" s="1">
        <v>1331</v>
      </c>
      <c r="Z9">
        <v>370</v>
      </c>
      <c r="AA9">
        <v>961</v>
      </c>
      <c r="AB9" s="1">
        <v>1705</v>
      </c>
      <c r="AC9">
        <v>627</v>
      </c>
      <c r="AD9">
        <v>1078</v>
      </c>
      <c r="AE9" s="1">
        <v>1321</v>
      </c>
      <c r="AF9">
        <v>508</v>
      </c>
      <c r="AG9">
        <v>813</v>
      </c>
      <c r="AH9" s="1">
        <v>1667</v>
      </c>
      <c r="AI9">
        <v>568</v>
      </c>
      <c r="AJ9">
        <v>1099</v>
      </c>
      <c r="AK9" s="1">
        <v>226</v>
      </c>
      <c r="AL9">
        <v>71</v>
      </c>
      <c r="AM9">
        <v>155</v>
      </c>
    </row>
    <row r="10" spans="1:39" x14ac:dyDescent="0.3">
      <c r="A10" t="s">
        <v>18</v>
      </c>
      <c r="B10" t="s">
        <v>16</v>
      </c>
      <c r="C10">
        <v>2022</v>
      </c>
      <c r="D10">
        <v>9</v>
      </c>
      <c r="E10" t="s">
        <v>5</v>
      </c>
      <c r="F10" s="3">
        <v>2</v>
      </c>
      <c r="G10" s="1">
        <v>7511</v>
      </c>
      <c r="H10" s="1">
        <v>7507.19921875</v>
      </c>
      <c r="I10" s="1">
        <v>7220.57861328125</v>
      </c>
      <c r="J10" s="1">
        <v>2850</v>
      </c>
      <c r="K10" s="1">
        <v>2943.484375</v>
      </c>
      <c r="L10" s="1">
        <v>2800.36645507813</v>
      </c>
      <c r="M10" s="1">
        <v>4661</v>
      </c>
      <c r="N10" s="1">
        <v>4563.71484375</v>
      </c>
      <c r="O10" s="1">
        <v>4468.0771484375</v>
      </c>
      <c r="P10" s="1">
        <v>47973</v>
      </c>
      <c r="Q10" s="1">
        <v>47969.572090392299</v>
      </c>
      <c r="R10" s="1">
        <v>48342.3049960227</v>
      </c>
      <c r="S10" s="1">
        <v>761</v>
      </c>
      <c r="T10">
        <v>331</v>
      </c>
      <c r="U10">
        <v>430</v>
      </c>
      <c r="V10" s="1">
        <v>1321</v>
      </c>
      <c r="W10">
        <v>381</v>
      </c>
      <c r="X10">
        <v>940</v>
      </c>
      <c r="Y10" s="1">
        <v>1278</v>
      </c>
      <c r="Z10">
        <v>375</v>
      </c>
      <c r="AA10">
        <v>903</v>
      </c>
      <c r="AB10" s="1">
        <v>1419</v>
      </c>
      <c r="AC10">
        <v>443</v>
      </c>
      <c r="AD10">
        <v>976</v>
      </c>
      <c r="AE10" s="1">
        <v>1220</v>
      </c>
      <c r="AF10">
        <v>475</v>
      </c>
      <c r="AG10">
        <v>745</v>
      </c>
      <c r="AH10" s="1">
        <v>1783</v>
      </c>
      <c r="AI10">
        <v>711</v>
      </c>
      <c r="AJ10">
        <v>1072</v>
      </c>
      <c r="AK10" s="1">
        <v>293</v>
      </c>
      <c r="AL10">
        <v>134</v>
      </c>
      <c r="AM10">
        <v>159</v>
      </c>
    </row>
    <row r="11" spans="1:39" x14ac:dyDescent="0.3">
      <c r="A11" t="s">
        <v>19</v>
      </c>
      <c r="B11" t="s">
        <v>20</v>
      </c>
      <c r="C11">
        <v>2022</v>
      </c>
      <c r="D11">
        <v>10</v>
      </c>
      <c r="E11" t="s">
        <v>6</v>
      </c>
      <c r="F11" s="3">
        <v>2.75</v>
      </c>
      <c r="G11" s="1">
        <v>4780</v>
      </c>
      <c r="H11" s="1">
        <v>6454.85009765625</v>
      </c>
      <c r="I11" s="1">
        <v>6873.80029296875</v>
      </c>
      <c r="J11" s="1">
        <v>1826</v>
      </c>
      <c r="K11" s="1">
        <v>2301.01171875</v>
      </c>
      <c r="L11" s="1">
        <v>2659.02734375</v>
      </c>
      <c r="M11" s="1">
        <v>2954</v>
      </c>
      <c r="N11" s="1">
        <v>4153.83837890625</v>
      </c>
      <c r="O11" s="1">
        <v>4243.5185546875</v>
      </c>
      <c r="P11" s="1">
        <v>48554</v>
      </c>
      <c r="Q11" s="1">
        <v>49153.554973540202</v>
      </c>
      <c r="R11" s="1">
        <v>49215.164981228801</v>
      </c>
      <c r="S11" s="1">
        <v>536</v>
      </c>
      <c r="T11">
        <v>264</v>
      </c>
      <c r="U11">
        <v>272</v>
      </c>
      <c r="V11" s="1">
        <v>713</v>
      </c>
      <c r="W11">
        <v>226</v>
      </c>
      <c r="X11">
        <v>487</v>
      </c>
      <c r="Y11" s="1">
        <v>871</v>
      </c>
      <c r="Z11">
        <v>202</v>
      </c>
      <c r="AA11">
        <v>669</v>
      </c>
      <c r="AB11" s="1">
        <v>969</v>
      </c>
      <c r="AC11">
        <v>306</v>
      </c>
      <c r="AD11">
        <v>663</v>
      </c>
      <c r="AE11" s="1">
        <v>771</v>
      </c>
      <c r="AF11">
        <v>357</v>
      </c>
      <c r="AG11">
        <v>414</v>
      </c>
      <c r="AH11" s="1">
        <v>1163</v>
      </c>
      <c r="AI11">
        <v>445</v>
      </c>
      <c r="AJ11">
        <v>718</v>
      </c>
      <c r="AK11" s="1">
        <v>135</v>
      </c>
      <c r="AL11">
        <v>52</v>
      </c>
      <c r="AM11">
        <v>83</v>
      </c>
    </row>
    <row r="12" spans="1:39" x14ac:dyDescent="0.3">
      <c r="A12" t="s">
        <v>21</v>
      </c>
      <c r="B12" t="s">
        <v>20</v>
      </c>
      <c r="C12">
        <v>2022</v>
      </c>
      <c r="D12">
        <v>11</v>
      </c>
      <c r="E12" t="s">
        <v>6</v>
      </c>
      <c r="F12" s="3">
        <v>2.75</v>
      </c>
      <c r="G12" s="1">
        <v>7388</v>
      </c>
      <c r="H12" s="1">
        <v>6813.37841796875</v>
      </c>
      <c r="I12" s="1">
        <v>6583.083984375</v>
      </c>
      <c r="J12" s="1">
        <v>2968</v>
      </c>
      <c r="K12" s="1">
        <v>2763.86010742188</v>
      </c>
      <c r="L12" s="1">
        <v>2559.4716796875</v>
      </c>
      <c r="M12" s="1">
        <v>4420</v>
      </c>
      <c r="N12" s="1">
        <v>4049.5185546875</v>
      </c>
      <c r="O12" s="1">
        <v>4042.93286132813</v>
      </c>
      <c r="P12" s="1">
        <v>50669</v>
      </c>
      <c r="Q12" s="1">
        <v>50072.5948591622</v>
      </c>
      <c r="R12" s="1">
        <v>50169.832776180701</v>
      </c>
      <c r="S12" s="1">
        <v>622</v>
      </c>
      <c r="T12">
        <v>238</v>
      </c>
      <c r="U12">
        <v>384</v>
      </c>
      <c r="V12" s="1">
        <v>1112</v>
      </c>
      <c r="W12">
        <v>346</v>
      </c>
      <c r="X12">
        <v>766</v>
      </c>
      <c r="Y12" s="1">
        <v>1302</v>
      </c>
      <c r="Z12">
        <v>376</v>
      </c>
      <c r="AA12">
        <v>926</v>
      </c>
      <c r="AB12" s="1">
        <v>1627</v>
      </c>
      <c r="AC12">
        <v>626</v>
      </c>
      <c r="AD12">
        <v>1001</v>
      </c>
      <c r="AE12" s="1">
        <v>1031</v>
      </c>
      <c r="AF12">
        <v>383</v>
      </c>
      <c r="AG12">
        <v>648</v>
      </c>
      <c r="AH12" s="1">
        <v>1862</v>
      </c>
      <c r="AI12">
        <v>829</v>
      </c>
      <c r="AJ12">
        <v>1033</v>
      </c>
      <c r="AK12" s="1">
        <v>313</v>
      </c>
      <c r="AL12">
        <v>136</v>
      </c>
      <c r="AM12">
        <v>177</v>
      </c>
    </row>
    <row r="13" spans="1:39" x14ac:dyDescent="0.3">
      <c r="A13" t="s">
        <v>22</v>
      </c>
      <c r="B13" t="s">
        <v>20</v>
      </c>
      <c r="C13">
        <v>2022</v>
      </c>
      <c r="D13">
        <v>12</v>
      </c>
      <c r="E13" t="s">
        <v>6</v>
      </c>
      <c r="F13" s="3">
        <v>3.25</v>
      </c>
      <c r="G13" s="1">
        <v>6921</v>
      </c>
      <c r="H13" s="1">
        <v>6499.4951171875</v>
      </c>
      <c r="I13" s="1">
        <v>6345.1142578125</v>
      </c>
      <c r="J13" s="1">
        <v>2823</v>
      </c>
      <c r="K13" s="1">
        <v>2555.93041992188</v>
      </c>
      <c r="L13" s="1">
        <v>2502.31567382813</v>
      </c>
      <c r="M13" s="1">
        <v>4098</v>
      </c>
      <c r="N13" s="1">
        <v>3943.564453125</v>
      </c>
      <c r="O13" s="1">
        <v>3870.388671875</v>
      </c>
      <c r="P13" s="1">
        <v>51153</v>
      </c>
      <c r="Q13" s="1">
        <v>50914.171106795096</v>
      </c>
      <c r="R13" s="1">
        <v>51188.869459651301</v>
      </c>
      <c r="S13" s="1">
        <v>685</v>
      </c>
      <c r="T13">
        <v>278</v>
      </c>
      <c r="U13">
        <v>407</v>
      </c>
      <c r="V13" s="1">
        <v>886</v>
      </c>
      <c r="W13">
        <v>258</v>
      </c>
      <c r="X13">
        <v>628</v>
      </c>
      <c r="Y13" s="1">
        <v>1205</v>
      </c>
      <c r="Z13">
        <v>414</v>
      </c>
      <c r="AA13">
        <v>791</v>
      </c>
      <c r="AB13" s="1">
        <v>1515</v>
      </c>
      <c r="AC13">
        <v>566</v>
      </c>
      <c r="AD13">
        <v>949</v>
      </c>
      <c r="AE13" s="1">
        <v>1213</v>
      </c>
      <c r="AF13">
        <v>617</v>
      </c>
      <c r="AG13">
        <v>596</v>
      </c>
      <c r="AH13" s="1">
        <v>1587</v>
      </c>
      <c r="AI13">
        <v>571</v>
      </c>
      <c r="AJ13">
        <v>1016</v>
      </c>
      <c r="AK13" s="1">
        <v>217</v>
      </c>
      <c r="AL13">
        <v>86</v>
      </c>
      <c r="AM13">
        <v>131</v>
      </c>
    </row>
    <row r="14" spans="1:39" s="8" customFormat="1" x14ac:dyDescent="0.3">
      <c r="A14" s="8" t="s">
        <v>23</v>
      </c>
      <c r="B14" s="8" t="s">
        <v>24</v>
      </c>
      <c r="C14" s="8">
        <v>2023</v>
      </c>
      <c r="D14" s="8">
        <v>1</v>
      </c>
      <c r="E14" s="8" t="s">
        <v>3</v>
      </c>
      <c r="F14" s="9">
        <v>3.75</v>
      </c>
      <c r="G14" s="7">
        <f>'[1]לוח 1 table'!$M13</f>
        <v>7100</v>
      </c>
      <c r="H14" s="7">
        <f>'[1]לוח 1 table'!$L13</f>
        <v>6378</v>
      </c>
      <c r="I14" s="7">
        <f>'[1]לוח 1 table'!$K13</f>
        <v>6679</v>
      </c>
      <c r="J14" s="7">
        <f>'[1]לוח 1 table'!$I13</f>
        <v>2500</v>
      </c>
      <c r="K14" s="7">
        <f>'[1]לוח 1 table'!$H13</f>
        <v>2150</v>
      </c>
      <c r="L14" s="7">
        <f>'[1]לוח 1 table'!$G13</f>
        <v>2384</v>
      </c>
      <c r="M14" s="7">
        <f>'[1]לוח 1 table'!$D13</f>
        <v>4600</v>
      </c>
      <c r="N14" s="7">
        <f>'[1]לוח 1 table'!$C13</f>
        <v>4229</v>
      </c>
      <c r="O14" s="7">
        <f>'[1]לוח 1 table'!$B13</f>
        <v>4239</v>
      </c>
      <c r="P14" s="7">
        <f>'[2]2'!$E9</f>
        <v>54118</v>
      </c>
      <c r="Q14" s="7">
        <f>'[2]2'!$D9</f>
        <v>52606</v>
      </c>
      <c r="R14" s="7">
        <f>'[2]2'!$C9</f>
        <v>52324</v>
      </c>
      <c r="S14" s="7">
        <v>913</v>
      </c>
      <c r="T14" s="8">
        <v>508</v>
      </c>
      <c r="U14" s="8">
        <v>405</v>
      </c>
      <c r="V14" s="7">
        <v>857</v>
      </c>
      <c r="W14" s="8">
        <v>207</v>
      </c>
      <c r="X14" s="8">
        <v>650</v>
      </c>
      <c r="Y14" s="7">
        <v>1226</v>
      </c>
      <c r="Z14" s="8">
        <v>417</v>
      </c>
      <c r="AA14" s="8">
        <v>809</v>
      </c>
      <c r="AB14" s="7">
        <v>1415</v>
      </c>
      <c r="AC14" s="8">
        <v>467</v>
      </c>
      <c r="AD14" s="8">
        <v>948</v>
      </c>
      <c r="AE14" s="7">
        <v>1015</v>
      </c>
      <c r="AF14" s="8">
        <v>353</v>
      </c>
      <c r="AG14" s="8">
        <v>662</v>
      </c>
      <c r="AH14" s="7">
        <v>1459</v>
      </c>
      <c r="AI14" s="8">
        <v>488</v>
      </c>
      <c r="AJ14" s="8">
        <v>971</v>
      </c>
      <c r="AK14" s="7">
        <v>216</v>
      </c>
      <c r="AL14" s="8">
        <v>59</v>
      </c>
      <c r="AM14" s="8">
        <v>157</v>
      </c>
    </row>
    <row r="15" spans="1:39" s="8" customFormat="1" x14ac:dyDescent="0.3">
      <c r="A15" s="8" t="s">
        <v>25</v>
      </c>
      <c r="B15" s="8" t="s">
        <v>24</v>
      </c>
      <c r="C15" s="8">
        <v>2023</v>
      </c>
      <c r="D15" s="8">
        <v>2</v>
      </c>
      <c r="E15" s="8" t="s">
        <v>3</v>
      </c>
      <c r="F15" s="9">
        <v>4.25</v>
      </c>
      <c r="G15" s="7">
        <f>'[1]לוח 1 table'!$M14</f>
        <v>6336</v>
      </c>
      <c r="H15" s="7">
        <f>'[1]לוח 1 table'!$L14</f>
        <v>6530</v>
      </c>
      <c r="I15" s="7">
        <f>'[1]לוח 1 table'!$K14</f>
        <v>6450</v>
      </c>
      <c r="J15" s="7">
        <f>'[1]לוח 1 table'!$I14</f>
        <v>2441</v>
      </c>
      <c r="K15" s="7">
        <f>'[1]לוח 1 table'!$H14</f>
        <v>2561</v>
      </c>
      <c r="L15" s="7">
        <f>'[1]לוח 1 table'!$G14</f>
        <v>2337</v>
      </c>
      <c r="M15" s="7">
        <f>'[1]לוח 1 table'!$D14</f>
        <v>3895</v>
      </c>
      <c r="N15" s="7">
        <f>'[1]לוח 1 table'!$C14</f>
        <v>3969</v>
      </c>
      <c r="O15" s="7">
        <f>'[1]לוח 1 table'!$B14</f>
        <v>4078</v>
      </c>
      <c r="P15" s="7">
        <f>'[2]2'!$E10</f>
        <v>54457</v>
      </c>
      <c r="Q15" s="7">
        <f>'[2]2'!$D10</f>
        <v>55306</v>
      </c>
      <c r="R15" s="7">
        <f>'[2]2'!$C10</f>
        <v>53345</v>
      </c>
      <c r="S15" s="7">
        <v>722</v>
      </c>
      <c r="T15" s="8">
        <v>373</v>
      </c>
      <c r="U15" s="8">
        <v>349</v>
      </c>
      <c r="V15" s="7">
        <v>686</v>
      </c>
      <c r="W15" s="8">
        <v>165</v>
      </c>
      <c r="X15" s="8">
        <v>521</v>
      </c>
      <c r="Y15" s="7">
        <v>1023</v>
      </c>
      <c r="Z15" s="8">
        <v>264</v>
      </c>
      <c r="AA15" s="8">
        <v>759</v>
      </c>
      <c r="AB15" s="7">
        <v>1170</v>
      </c>
      <c r="AC15" s="8">
        <v>383</v>
      </c>
      <c r="AD15" s="8">
        <v>787</v>
      </c>
      <c r="AE15" s="7">
        <v>1036</v>
      </c>
      <c r="AF15" s="8">
        <v>477</v>
      </c>
      <c r="AG15" s="8">
        <v>559</v>
      </c>
      <c r="AH15" s="7">
        <v>1509</v>
      </c>
      <c r="AI15" s="8">
        <v>711</v>
      </c>
      <c r="AJ15" s="8">
        <v>798</v>
      </c>
      <c r="AK15" s="7">
        <v>193</v>
      </c>
      <c r="AL15" s="8">
        <v>70</v>
      </c>
      <c r="AM15" s="8">
        <v>123</v>
      </c>
    </row>
    <row r="16" spans="1:39" s="8" customFormat="1" x14ac:dyDescent="0.3">
      <c r="A16" s="8" t="s">
        <v>26</v>
      </c>
      <c r="B16" s="8" t="s">
        <v>24</v>
      </c>
      <c r="C16" s="8">
        <v>2023</v>
      </c>
      <c r="D16" s="8">
        <v>3</v>
      </c>
      <c r="E16" s="8" t="s">
        <v>3</v>
      </c>
      <c r="F16" s="9">
        <v>4.25</v>
      </c>
      <c r="G16" s="7">
        <f>'[1]לוח 1 table'!$M15</f>
        <v>7223</v>
      </c>
      <c r="H16" s="7">
        <f>'[1]לוח 1 table'!$L15</f>
        <v>6270</v>
      </c>
      <c r="I16" s="7">
        <f>'[1]לוח 1 table'!$K15</f>
        <v>6275</v>
      </c>
      <c r="J16" s="7">
        <f>'[1]לוח 1 table'!$I15</f>
        <v>2727</v>
      </c>
      <c r="K16" s="7">
        <f>'[1]לוח 1 table'!$H15</f>
        <v>2303</v>
      </c>
      <c r="L16" s="7">
        <f>'[1]לוח 1 table'!$G15</f>
        <v>2321</v>
      </c>
      <c r="M16" s="7">
        <f>'[1]לוח 1 table'!$D15</f>
        <v>4496</v>
      </c>
      <c r="N16" s="7">
        <f>'[1]לוח 1 table'!$C15</f>
        <v>3967</v>
      </c>
      <c r="O16" s="7">
        <f>'[1]לוח 1 table'!$B15</f>
        <v>3936</v>
      </c>
      <c r="P16" s="7">
        <f>'[2]2'!$E11</f>
        <v>54096</v>
      </c>
      <c r="Q16" s="7">
        <f>'[2]2'!$D11</f>
        <v>53978</v>
      </c>
      <c r="R16" s="7">
        <f>'[2]2'!$C11</f>
        <v>54382</v>
      </c>
      <c r="S16" s="7">
        <v>686</v>
      </c>
      <c r="T16" s="8">
        <v>300</v>
      </c>
      <c r="U16" s="8">
        <v>386</v>
      </c>
      <c r="V16" s="7">
        <v>943</v>
      </c>
      <c r="W16" s="8">
        <v>243</v>
      </c>
      <c r="X16" s="8">
        <v>700</v>
      </c>
      <c r="Y16" s="7">
        <v>1233</v>
      </c>
      <c r="Z16" s="8">
        <v>275</v>
      </c>
      <c r="AA16" s="8">
        <v>958</v>
      </c>
      <c r="AB16" s="7">
        <v>1207</v>
      </c>
      <c r="AC16" s="8">
        <v>369</v>
      </c>
      <c r="AD16" s="8">
        <v>838</v>
      </c>
      <c r="AE16" s="7">
        <v>1042</v>
      </c>
      <c r="AF16" s="8">
        <v>443</v>
      </c>
      <c r="AG16" s="8">
        <v>599</v>
      </c>
      <c r="AH16" s="7">
        <v>1909</v>
      </c>
      <c r="AI16" s="8">
        <v>1052</v>
      </c>
      <c r="AJ16" s="8">
        <v>857</v>
      </c>
      <c r="AK16" s="7">
        <v>203</v>
      </c>
      <c r="AL16" s="8">
        <v>47</v>
      </c>
      <c r="AM16" s="8">
        <v>156</v>
      </c>
    </row>
    <row r="17" spans="1:39" s="8" customFormat="1" x14ac:dyDescent="0.3">
      <c r="A17" s="8" t="s">
        <v>27</v>
      </c>
      <c r="B17" s="8" t="s">
        <v>28</v>
      </c>
      <c r="C17" s="8">
        <v>2023</v>
      </c>
      <c r="D17" s="8">
        <v>4</v>
      </c>
      <c r="E17" s="8" t="s">
        <v>4</v>
      </c>
      <c r="F17" s="9">
        <v>4.5</v>
      </c>
      <c r="G17" s="7">
        <f>'[1]לוח 1 table'!$M16</f>
        <v>4151</v>
      </c>
      <c r="H17" s="7">
        <f>'[1]לוח 1 table'!$L16</f>
        <v>6098</v>
      </c>
      <c r="I17" s="7">
        <f>'[1]לוח 1 table'!$K16</f>
        <v>6172</v>
      </c>
      <c r="J17" s="7">
        <f>'[1]לוח 1 table'!$I16</f>
        <v>1456</v>
      </c>
      <c r="K17" s="7">
        <f>'[1]לוח 1 table'!$H16</f>
        <v>2323</v>
      </c>
      <c r="L17" s="7">
        <f>'[1]לוח 1 table'!$G16</f>
        <v>2338</v>
      </c>
      <c r="M17" s="7">
        <f>'[1]לוח 1 table'!$D16</f>
        <v>2695</v>
      </c>
      <c r="N17" s="7">
        <f>'[1]לוח 1 table'!$C16</f>
        <v>3775</v>
      </c>
      <c r="O17" s="7">
        <f>'[1]לוח 1 table'!$B16</f>
        <v>3811</v>
      </c>
      <c r="P17" s="7">
        <f>'[2]2'!$E12</f>
        <v>55672</v>
      </c>
      <c r="Q17" s="7">
        <f>'[2]2'!$D12</f>
        <v>55493</v>
      </c>
      <c r="R17" s="7">
        <f>'[2]2'!$C12</f>
        <v>55435</v>
      </c>
      <c r="S17" s="7">
        <v>359</v>
      </c>
      <c r="T17" s="8">
        <v>141</v>
      </c>
      <c r="U17" s="8">
        <v>218</v>
      </c>
      <c r="V17" s="7">
        <v>652</v>
      </c>
      <c r="W17" s="8">
        <v>206</v>
      </c>
      <c r="X17" s="8">
        <v>446</v>
      </c>
      <c r="Y17" s="7">
        <v>675</v>
      </c>
      <c r="Z17" s="8">
        <v>148</v>
      </c>
      <c r="AA17" s="8">
        <v>527</v>
      </c>
      <c r="AB17" s="7">
        <v>876</v>
      </c>
      <c r="AC17" s="8">
        <v>377</v>
      </c>
      <c r="AD17" s="8">
        <v>499</v>
      </c>
      <c r="AE17" s="7">
        <v>540</v>
      </c>
      <c r="AF17" s="8">
        <v>176</v>
      </c>
      <c r="AG17" s="8">
        <v>364</v>
      </c>
      <c r="AH17" s="7">
        <v>924</v>
      </c>
      <c r="AI17" s="8">
        <v>354</v>
      </c>
      <c r="AJ17" s="8">
        <v>570</v>
      </c>
      <c r="AK17" s="7">
        <v>127</v>
      </c>
      <c r="AL17" s="8">
        <v>56</v>
      </c>
      <c r="AM17" s="8">
        <v>71</v>
      </c>
    </row>
    <row r="18" spans="1:39" s="8" customFormat="1" x14ac:dyDescent="0.3">
      <c r="A18" s="8" t="s">
        <v>29</v>
      </c>
      <c r="B18" s="8" t="s">
        <v>28</v>
      </c>
      <c r="C18" s="8">
        <v>2023</v>
      </c>
      <c r="D18" s="8">
        <v>5</v>
      </c>
      <c r="E18" s="8" t="s">
        <v>4</v>
      </c>
      <c r="F18" s="9">
        <v>4.75</v>
      </c>
      <c r="G18" s="7">
        <f>'[1]לוח 1 table'!$M17</f>
        <v>6219</v>
      </c>
      <c r="H18" s="7">
        <f>'[1]לוח 1 table'!$L17</f>
        <v>6118</v>
      </c>
      <c r="I18" s="7">
        <f>'[1]לוח 1 table'!$K17</f>
        <v>6158</v>
      </c>
      <c r="J18" s="7">
        <f>'[1]לוח 1 table'!$I17</f>
        <v>2225</v>
      </c>
      <c r="K18" s="7">
        <f>'[1]לוח 1 table'!$H17</f>
        <v>2380</v>
      </c>
      <c r="L18" s="7">
        <f>'[1]לוח 1 table'!$G17</f>
        <v>2383</v>
      </c>
      <c r="M18" s="7">
        <f>'[1]לוח 1 table'!$D17</f>
        <v>3994</v>
      </c>
      <c r="N18" s="7">
        <f>'[1]לוח 1 table'!$C17</f>
        <v>3738</v>
      </c>
      <c r="O18" s="7">
        <f>'[1]לוח 1 table'!$B17</f>
        <v>3706</v>
      </c>
      <c r="P18" s="7">
        <f>'[2]2'!$E13</f>
        <v>56899</v>
      </c>
      <c r="Q18" s="7">
        <f>'[2]2'!$D13</f>
        <v>56838</v>
      </c>
      <c r="R18" s="7">
        <f>'[2]2'!$C13</f>
        <v>56518</v>
      </c>
      <c r="S18" s="7">
        <v>520</v>
      </c>
      <c r="T18" s="8">
        <v>139</v>
      </c>
      <c r="U18" s="8">
        <v>381</v>
      </c>
      <c r="V18" s="7">
        <v>913</v>
      </c>
      <c r="W18" s="8">
        <v>318</v>
      </c>
      <c r="X18" s="8">
        <v>595</v>
      </c>
      <c r="Y18" s="7">
        <v>964</v>
      </c>
      <c r="Z18" s="8">
        <v>247</v>
      </c>
      <c r="AA18" s="8">
        <v>717</v>
      </c>
      <c r="AB18" s="7">
        <v>1438</v>
      </c>
      <c r="AC18" s="8">
        <v>613</v>
      </c>
      <c r="AD18" s="8">
        <v>825</v>
      </c>
      <c r="AE18" s="7">
        <v>904</v>
      </c>
      <c r="AF18" s="8">
        <v>345</v>
      </c>
      <c r="AG18" s="8">
        <v>559</v>
      </c>
      <c r="AH18" s="7">
        <v>1223</v>
      </c>
      <c r="AI18" s="8">
        <v>445</v>
      </c>
      <c r="AJ18" s="8">
        <v>778</v>
      </c>
      <c r="AK18" s="7">
        <v>257</v>
      </c>
      <c r="AL18" s="8">
        <v>119</v>
      </c>
      <c r="AM18" s="8">
        <v>138</v>
      </c>
    </row>
    <row r="19" spans="1:39" s="8" customFormat="1" x14ac:dyDescent="0.3">
      <c r="A19" s="8" t="s">
        <v>30</v>
      </c>
      <c r="B19" s="8" t="s">
        <v>28</v>
      </c>
      <c r="C19" s="8">
        <v>2023</v>
      </c>
      <c r="D19" s="8">
        <v>6</v>
      </c>
      <c r="E19" s="8" t="s">
        <v>4</v>
      </c>
      <c r="F19" s="9">
        <v>4.75</v>
      </c>
      <c r="G19" s="7">
        <f>'[1]לוח 1 table'!$M18</f>
        <v>7052</v>
      </c>
      <c r="H19" s="7">
        <f>'[1]לוח 1 table'!$L18</f>
        <v>6215</v>
      </c>
      <c r="I19" s="7">
        <f>'[1]לוח 1 table'!$K18</f>
        <v>6240</v>
      </c>
      <c r="J19" s="7">
        <f>'[1]לוח 1 table'!$I18</f>
        <v>2829</v>
      </c>
      <c r="K19" s="7">
        <f>'[1]לוח 1 table'!$H18</f>
        <v>2453</v>
      </c>
      <c r="L19" s="7">
        <f>'[1]לוח 1 table'!$G18</f>
        <v>2452</v>
      </c>
      <c r="M19" s="7">
        <f>'[1]לוח 1 table'!$D18</f>
        <v>4223</v>
      </c>
      <c r="N19" s="7">
        <f>'[1]לוח 1 table'!$C18</f>
        <v>3761</v>
      </c>
      <c r="O19" s="7">
        <f>'[1]לוח 1 table'!$B18</f>
        <v>3627</v>
      </c>
      <c r="P19" s="7">
        <f>'[2]2'!$E14</f>
        <v>57098</v>
      </c>
      <c r="Q19" s="7">
        <f>'[2]2'!$D14</f>
        <v>57609</v>
      </c>
      <c r="R19" s="7">
        <f>'[2]2'!$C14</f>
        <v>57647</v>
      </c>
      <c r="S19" s="7">
        <v>669</v>
      </c>
      <c r="T19" s="8">
        <v>295</v>
      </c>
      <c r="U19" s="8">
        <v>374</v>
      </c>
      <c r="V19" s="7">
        <v>949</v>
      </c>
      <c r="W19" s="8">
        <v>316</v>
      </c>
      <c r="X19" s="8">
        <v>633</v>
      </c>
      <c r="Y19" s="7">
        <v>1020</v>
      </c>
      <c r="Z19" s="8">
        <v>257</v>
      </c>
      <c r="AA19" s="8">
        <v>763</v>
      </c>
      <c r="AB19" s="7">
        <v>1618</v>
      </c>
      <c r="AC19" s="8">
        <v>764</v>
      </c>
      <c r="AD19" s="8">
        <v>854</v>
      </c>
      <c r="AE19" s="7">
        <v>1037</v>
      </c>
      <c r="AF19" s="8">
        <v>431</v>
      </c>
      <c r="AG19" s="8">
        <v>606</v>
      </c>
      <c r="AH19" s="7">
        <v>1545</v>
      </c>
      <c r="AI19" s="8">
        <v>711</v>
      </c>
      <c r="AJ19" s="8">
        <v>834</v>
      </c>
      <c r="AK19" s="7">
        <v>213</v>
      </c>
      <c r="AL19" s="8">
        <v>55</v>
      </c>
      <c r="AM19" s="8">
        <v>158</v>
      </c>
    </row>
    <row r="20" spans="1:39" s="8" customFormat="1" x14ac:dyDescent="0.3">
      <c r="A20" s="8" t="s">
        <v>31</v>
      </c>
      <c r="B20" s="8" t="s">
        <v>32</v>
      </c>
      <c r="C20" s="8">
        <v>2023</v>
      </c>
      <c r="D20" s="8">
        <v>7</v>
      </c>
      <c r="E20" s="8" t="s">
        <v>5</v>
      </c>
      <c r="F20" s="9">
        <v>4.75</v>
      </c>
      <c r="G20" s="7">
        <f>'[1]לוח 1 table'!$M19</f>
        <v>6558</v>
      </c>
      <c r="H20" s="7">
        <f>'[1]לוח 1 table'!$L19</f>
        <v>6043</v>
      </c>
      <c r="I20" s="7">
        <f>'[1]לוח 1 table'!$K19</f>
        <v>6410</v>
      </c>
      <c r="J20" s="7">
        <f>'[1]לוח 1 table'!$I19</f>
        <v>2503</v>
      </c>
      <c r="K20" s="7">
        <f>'[1]לוח 1 table'!$H19</f>
        <v>2450</v>
      </c>
      <c r="L20" s="7">
        <f>'[1]לוח 1 table'!$G19</f>
        <v>2537</v>
      </c>
      <c r="M20" s="7">
        <f>'[1]לוח 1 table'!$D19</f>
        <v>4055</v>
      </c>
      <c r="N20" s="7">
        <f>'[1]לוח 1 table'!$C19</f>
        <v>3593</v>
      </c>
      <c r="O20" s="7">
        <f>'[1]לוח 1 table'!$B19</f>
        <v>3580</v>
      </c>
      <c r="P20" s="7">
        <f>'[2]2'!$E15</f>
        <v>58404</v>
      </c>
      <c r="Q20" s="7">
        <f>'[2]2'!$D15</f>
        <v>58719</v>
      </c>
      <c r="R20" s="7">
        <f>'[2]2'!$C15</f>
        <v>58832</v>
      </c>
      <c r="S20" s="7">
        <v>559</v>
      </c>
      <c r="T20" s="8">
        <v>178</v>
      </c>
      <c r="U20" s="8">
        <v>381</v>
      </c>
      <c r="V20" s="7">
        <v>898</v>
      </c>
      <c r="W20" s="8">
        <v>348</v>
      </c>
      <c r="X20" s="8">
        <v>550</v>
      </c>
      <c r="Y20" s="7">
        <v>931</v>
      </c>
      <c r="Z20" s="8">
        <v>245</v>
      </c>
      <c r="AA20" s="8">
        <v>686</v>
      </c>
      <c r="AB20" s="7">
        <v>1344</v>
      </c>
      <c r="AC20" s="8">
        <v>496</v>
      </c>
      <c r="AD20" s="8">
        <v>848</v>
      </c>
      <c r="AE20" s="7">
        <v>1065</v>
      </c>
      <c r="AF20" s="8">
        <v>445</v>
      </c>
      <c r="AG20" s="8">
        <v>620</v>
      </c>
      <c r="AH20" s="7">
        <v>1589</v>
      </c>
      <c r="AI20" s="8">
        <v>749</v>
      </c>
      <c r="AJ20" s="8">
        <v>840</v>
      </c>
      <c r="AK20" s="7">
        <v>176</v>
      </c>
      <c r="AL20" s="8">
        <v>45</v>
      </c>
      <c r="AM20" s="8">
        <v>131</v>
      </c>
    </row>
    <row r="21" spans="1:39" s="8" customFormat="1" x14ac:dyDescent="0.3">
      <c r="A21" s="8" t="s">
        <v>33</v>
      </c>
      <c r="B21" s="8" t="s">
        <v>32</v>
      </c>
      <c r="C21" s="8">
        <v>2023</v>
      </c>
      <c r="D21" s="8">
        <v>8</v>
      </c>
      <c r="E21" s="8" t="s">
        <v>5</v>
      </c>
      <c r="F21" s="9">
        <v>4.75</v>
      </c>
      <c r="G21" s="7">
        <f>'[1]לוח 1 table'!$M20</f>
        <v>7546</v>
      </c>
      <c r="H21" s="7">
        <f>'[1]לוח 1 table'!$L20</f>
        <v>7211</v>
      </c>
      <c r="I21" s="7">
        <f>'[1]לוח 1 table'!$K20</f>
        <v>6649</v>
      </c>
      <c r="J21" s="7">
        <f>'[1]לוח 1 table'!$I20</f>
        <v>3201</v>
      </c>
      <c r="K21" s="7">
        <f>'[1]לוח 1 table'!$H20</f>
        <v>3109</v>
      </c>
      <c r="L21" s="7">
        <f>'[1]לוח 1 table'!$G20</f>
        <v>2634</v>
      </c>
      <c r="M21" s="7">
        <f>'[1]לוח 1 table'!$D20</f>
        <v>4345</v>
      </c>
      <c r="N21" s="7">
        <f>'[1]לוח 1 table'!$C20</f>
        <v>4103</v>
      </c>
      <c r="O21" s="7">
        <f>'[1]לוח 1 table'!$B20</f>
        <v>3573</v>
      </c>
      <c r="P21" s="7">
        <f>'[2]2'!$E16</f>
        <v>58705</v>
      </c>
      <c r="Q21" s="7">
        <f>'[2]2'!$D16</f>
        <v>59117</v>
      </c>
      <c r="R21" s="7">
        <f>'[2]2'!$C16</f>
        <v>60067</v>
      </c>
      <c r="S21" s="7">
        <v>683</v>
      </c>
      <c r="T21" s="8">
        <v>321</v>
      </c>
      <c r="U21" s="8">
        <v>362</v>
      </c>
      <c r="V21" s="7">
        <v>903</v>
      </c>
      <c r="W21" s="8">
        <v>366</v>
      </c>
      <c r="X21" s="8">
        <v>537</v>
      </c>
      <c r="Y21" s="7">
        <v>1210</v>
      </c>
      <c r="Z21" s="8">
        <v>290</v>
      </c>
      <c r="AA21" s="8">
        <v>920</v>
      </c>
      <c r="AB21" s="7">
        <v>1535</v>
      </c>
      <c r="AC21" s="8">
        <v>679</v>
      </c>
      <c r="AD21" s="8">
        <v>856</v>
      </c>
      <c r="AE21" s="7">
        <v>1103</v>
      </c>
      <c r="AF21" s="8">
        <v>469</v>
      </c>
      <c r="AG21" s="8">
        <v>634</v>
      </c>
      <c r="AH21" s="7">
        <v>1940</v>
      </c>
      <c r="AI21" s="8">
        <v>1034</v>
      </c>
      <c r="AJ21" s="8">
        <v>906</v>
      </c>
      <c r="AK21" s="7">
        <v>182</v>
      </c>
      <c r="AL21" s="8">
        <v>54</v>
      </c>
      <c r="AM21" s="8">
        <v>128</v>
      </c>
    </row>
    <row r="22" spans="1:39" s="8" customFormat="1" x14ac:dyDescent="0.3">
      <c r="A22" s="8" t="s">
        <v>34</v>
      </c>
      <c r="B22" s="8" t="s">
        <v>32</v>
      </c>
      <c r="C22" s="8">
        <v>2023</v>
      </c>
      <c r="D22" s="8">
        <v>9</v>
      </c>
      <c r="E22" s="8" t="s">
        <v>5</v>
      </c>
      <c r="F22" s="9">
        <v>4.75</v>
      </c>
      <c r="G22" s="7">
        <f>'[1]לוח 1 table'!$M21</f>
        <v>5857</v>
      </c>
      <c r="H22" s="7">
        <f>'[1]לוח 1 table'!$L21</f>
        <v>6502</v>
      </c>
      <c r="I22" s="7">
        <f>'[1]לוח 1 table'!$K21</f>
        <v>6926</v>
      </c>
      <c r="J22" s="7">
        <f>'[1]לוח 1 table'!$I21</f>
        <v>2389</v>
      </c>
      <c r="K22" s="7">
        <f>'[1]לוח 1 table'!$H21</f>
        <v>2869</v>
      </c>
      <c r="L22" s="7">
        <f>'[1]לוח 1 table'!$G21</f>
        <v>2745</v>
      </c>
      <c r="M22" s="7">
        <f>'[1]לוח 1 table'!$D21</f>
        <v>3468</v>
      </c>
      <c r="N22" s="7">
        <f>'[1]לוח 1 table'!$C21</f>
        <v>3634</v>
      </c>
      <c r="O22" s="7">
        <f>'[1]לוח 1 table'!$B21</f>
        <v>3611</v>
      </c>
      <c r="P22" s="7">
        <f>'[2]2'!$E17</f>
        <v>61068</v>
      </c>
      <c r="Q22" s="7">
        <f>'[2]2'!$D17</f>
        <v>61739</v>
      </c>
      <c r="R22" s="7">
        <f>'[2]2'!$C17</f>
        <v>61324</v>
      </c>
      <c r="S22" s="7">
        <v>685</v>
      </c>
      <c r="T22" s="8">
        <v>365</v>
      </c>
      <c r="U22" s="8">
        <v>320</v>
      </c>
      <c r="V22" s="7">
        <v>659</v>
      </c>
      <c r="W22" s="8">
        <v>192</v>
      </c>
      <c r="X22" s="8">
        <v>467</v>
      </c>
      <c r="Y22" s="7">
        <v>873</v>
      </c>
      <c r="Z22" s="8">
        <v>271</v>
      </c>
      <c r="AA22" s="8">
        <v>602</v>
      </c>
      <c r="AB22" s="7">
        <v>1336</v>
      </c>
      <c r="AC22" s="8">
        <v>550</v>
      </c>
      <c r="AD22" s="8">
        <v>786</v>
      </c>
      <c r="AE22" s="7">
        <v>890</v>
      </c>
      <c r="AF22" s="8">
        <v>397</v>
      </c>
      <c r="AG22" s="8">
        <v>493</v>
      </c>
      <c r="AH22" s="7">
        <v>1288</v>
      </c>
      <c r="AI22" s="8">
        <v>591</v>
      </c>
      <c r="AJ22" s="8">
        <v>697</v>
      </c>
      <c r="AK22" s="7">
        <v>130</v>
      </c>
      <c r="AL22" s="8">
        <v>29</v>
      </c>
      <c r="AM22" s="8">
        <v>101</v>
      </c>
    </row>
    <row r="23" spans="1:39" s="8" customFormat="1" x14ac:dyDescent="0.3">
      <c r="A23" s="8" t="s">
        <v>35</v>
      </c>
      <c r="B23" s="8" t="s">
        <v>36</v>
      </c>
      <c r="C23" s="8">
        <v>2023</v>
      </c>
      <c r="D23" s="8">
        <v>10</v>
      </c>
      <c r="E23" s="8" t="s">
        <v>6</v>
      </c>
      <c r="F23" s="9">
        <v>4.75</v>
      </c>
      <c r="G23" s="7">
        <f>'[1]לוח 1 table'!$M22</f>
        <v>2503</v>
      </c>
      <c r="H23" s="7">
        <f>'[1]לוח 1 table'!$L22</f>
        <v>3408</v>
      </c>
      <c r="I23" s="7">
        <f>'[1]לוח 1 table'!$K22</f>
        <v>7212</v>
      </c>
      <c r="J23" s="7">
        <f>'[1]לוח 1 table'!$I22</f>
        <v>867</v>
      </c>
      <c r="K23" s="7">
        <f>'[1]לוח 1 table'!$H22</f>
        <v>1035</v>
      </c>
      <c r="L23" s="7">
        <f>'[1]לוח 1 table'!$G22</f>
        <v>2879</v>
      </c>
      <c r="M23" s="7">
        <f>'[1]לוח 1 table'!$D22</f>
        <v>1636</v>
      </c>
      <c r="N23" s="7">
        <f>'[1]לוח 1 table'!$C22</f>
        <v>2373</v>
      </c>
      <c r="O23" s="7">
        <f>'[1]לוח 1 table'!$B22</f>
        <v>3700</v>
      </c>
      <c r="P23" s="7">
        <f>'[2]2'!$E18</f>
        <v>61581</v>
      </c>
      <c r="Q23" s="7">
        <f>'[2]2'!$D18</f>
        <v>62671</v>
      </c>
      <c r="R23" s="7">
        <f>'[2]2'!$C18</f>
        <v>62560</v>
      </c>
      <c r="S23" s="7">
        <v>286</v>
      </c>
      <c r="T23" s="8">
        <v>144</v>
      </c>
      <c r="U23" s="8">
        <v>142</v>
      </c>
      <c r="V23" s="7">
        <v>320</v>
      </c>
      <c r="W23" s="8">
        <v>100</v>
      </c>
      <c r="X23" s="8">
        <v>220</v>
      </c>
      <c r="Y23" s="7">
        <v>490</v>
      </c>
      <c r="Z23" s="8">
        <v>131</v>
      </c>
      <c r="AA23" s="8">
        <v>359</v>
      </c>
      <c r="AB23" s="7">
        <v>557</v>
      </c>
      <c r="AC23" s="8">
        <v>186</v>
      </c>
      <c r="AD23" s="8">
        <v>371</v>
      </c>
      <c r="AE23" s="7">
        <v>388</v>
      </c>
      <c r="AF23" s="8">
        <v>155</v>
      </c>
      <c r="AG23" s="8">
        <v>233</v>
      </c>
      <c r="AH23" s="7">
        <v>383</v>
      </c>
      <c r="AI23" s="8">
        <v>122</v>
      </c>
      <c r="AJ23" s="8">
        <v>261</v>
      </c>
      <c r="AK23" s="7">
        <v>82</v>
      </c>
      <c r="AL23" s="8">
        <v>32</v>
      </c>
      <c r="AM23" s="8">
        <v>50</v>
      </c>
    </row>
    <row r="24" spans="1:39" s="8" customFormat="1" x14ac:dyDescent="0.3">
      <c r="A24" s="8" t="s">
        <v>37</v>
      </c>
      <c r="B24" s="8" t="s">
        <v>36</v>
      </c>
      <c r="C24" s="8">
        <v>2023</v>
      </c>
      <c r="D24" s="8">
        <v>11</v>
      </c>
      <c r="E24" s="8" t="s">
        <v>6</v>
      </c>
      <c r="F24" s="9">
        <v>4.75</v>
      </c>
      <c r="G24" s="7">
        <f>'[1]לוח 1 table'!$M23</f>
        <v>4535</v>
      </c>
      <c r="H24" s="7">
        <f>'[1]לוח 1 table'!$L23</f>
        <v>4400</v>
      </c>
      <c r="I24" s="7">
        <f>'[1]לוח 1 table'!$K23</f>
        <v>7491</v>
      </c>
      <c r="J24" s="7">
        <f>'[1]לוח 1 table'!$I23</f>
        <v>1553</v>
      </c>
      <c r="K24" s="7">
        <f>'[1]לוח 1 table'!$H23</f>
        <v>1506</v>
      </c>
      <c r="L24" s="7">
        <f>'[1]לוח 1 table'!$G23</f>
        <v>3044</v>
      </c>
      <c r="M24" s="7">
        <f>'[1]לוח 1 table'!$D23</f>
        <v>2982</v>
      </c>
      <c r="N24" s="7">
        <f>'[1]לוח 1 table'!$C23</f>
        <v>2893</v>
      </c>
      <c r="O24" s="7">
        <f>'[1]לוח 1 table'!$B23</f>
        <v>3835</v>
      </c>
      <c r="P24" s="7">
        <f>'[2]2'!$E19</f>
        <v>64002</v>
      </c>
      <c r="Q24" s="7">
        <f>'[2]2'!$D19</f>
        <v>63678</v>
      </c>
      <c r="R24" s="7">
        <f>'[2]2'!$C19</f>
        <v>63724</v>
      </c>
      <c r="S24" s="7">
        <v>477</v>
      </c>
      <c r="T24" s="8">
        <v>209</v>
      </c>
      <c r="U24" s="8">
        <v>268</v>
      </c>
      <c r="V24" s="7">
        <v>602</v>
      </c>
      <c r="W24" s="8">
        <v>195</v>
      </c>
      <c r="X24" s="8">
        <v>407</v>
      </c>
      <c r="Y24" s="7">
        <v>708</v>
      </c>
      <c r="Z24" s="8">
        <v>218</v>
      </c>
      <c r="AA24" s="8">
        <v>490</v>
      </c>
      <c r="AB24" s="7">
        <v>1136</v>
      </c>
      <c r="AC24" s="8">
        <v>361</v>
      </c>
      <c r="AD24" s="8">
        <v>775</v>
      </c>
      <c r="AE24" s="7">
        <v>730</v>
      </c>
      <c r="AF24" s="8">
        <v>293</v>
      </c>
      <c r="AG24" s="8">
        <v>437</v>
      </c>
      <c r="AH24" s="7">
        <v>778</v>
      </c>
      <c r="AI24" s="8">
        <v>251</v>
      </c>
      <c r="AJ24" s="8">
        <v>527</v>
      </c>
      <c r="AK24" s="7">
        <v>108</v>
      </c>
      <c r="AL24" s="8">
        <v>28</v>
      </c>
      <c r="AM24" s="8">
        <v>80</v>
      </c>
    </row>
    <row r="25" spans="1:39" s="8" customFormat="1" x14ac:dyDescent="0.3">
      <c r="A25" s="8" t="s">
        <v>38</v>
      </c>
      <c r="B25" s="8" t="s">
        <v>36</v>
      </c>
      <c r="C25" s="8">
        <v>2023</v>
      </c>
      <c r="D25" s="8">
        <v>12</v>
      </c>
      <c r="E25" s="8" t="s">
        <v>6</v>
      </c>
      <c r="F25" s="9">
        <v>4.5</v>
      </c>
      <c r="G25" s="7">
        <f>'[1]לוח 1 table'!$M24</f>
        <v>6566</v>
      </c>
      <c r="H25" s="7">
        <f>'[1]לוח 1 table'!$L24</f>
        <v>6331</v>
      </c>
      <c r="I25" s="7">
        <f>'[1]לוח 1 table'!$K24</f>
        <v>7756</v>
      </c>
      <c r="J25" s="7">
        <f>'[1]לוח 1 table'!$I24</f>
        <v>2859</v>
      </c>
      <c r="K25" s="7">
        <f>'[1]לוח 1 table'!$H24</f>
        <v>2524</v>
      </c>
      <c r="L25" s="7">
        <f>'[1]לוח 1 table'!$G24</f>
        <v>3236</v>
      </c>
      <c r="M25" s="7">
        <f>'[1]לוח 1 table'!$D24</f>
        <v>3707</v>
      </c>
      <c r="N25" s="7">
        <f>'[1]לוח 1 table'!$C24</f>
        <v>3806</v>
      </c>
      <c r="O25" s="7">
        <f>'[1]לוח 1 table'!$B24</f>
        <v>4005</v>
      </c>
      <c r="P25" s="7">
        <f>'[2]2'!$E20</f>
        <v>68995</v>
      </c>
      <c r="Q25" s="7">
        <f>'[2]2'!$D20</f>
        <v>67512</v>
      </c>
      <c r="R25" s="7">
        <f>'[2]2'!$C20</f>
        <v>64763</v>
      </c>
      <c r="S25" s="7">
        <v>663</v>
      </c>
      <c r="T25" s="8">
        <v>340</v>
      </c>
      <c r="U25" s="8">
        <v>323</v>
      </c>
      <c r="V25" s="7">
        <v>668</v>
      </c>
      <c r="W25" s="8">
        <v>271</v>
      </c>
      <c r="X25" s="8">
        <v>397</v>
      </c>
      <c r="Y25" s="7">
        <v>966</v>
      </c>
      <c r="Z25" s="8">
        <v>313</v>
      </c>
      <c r="AA25" s="8">
        <v>653</v>
      </c>
      <c r="AB25" s="7">
        <v>1772</v>
      </c>
      <c r="AC25" s="8">
        <v>795</v>
      </c>
      <c r="AD25" s="8">
        <v>977</v>
      </c>
      <c r="AE25" s="7">
        <v>1042</v>
      </c>
      <c r="AF25" s="8">
        <v>513</v>
      </c>
      <c r="AG25" s="8">
        <v>529</v>
      </c>
      <c r="AH25" s="7">
        <v>1321</v>
      </c>
      <c r="AI25" s="8">
        <v>589</v>
      </c>
      <c r="AJ25" s="8">
        <v>732</v>
      </c>
      <c r="AK25" s="7">
        <v>142</v>
      </c>
      <c r="AL25" s="8">
        <v>40</v>
      </c>
      <c r="AM25" s="8">
        <v>102</v>
      </c>
    </row>
    <row r="26" spans="1:39" s="8" customFormat="1" x14ac:dyDescent="0.3">
      <c r="A26" s="8" t="s">
        <v>39</v>
      </c>
      <c r="B26" s="8" t="s">
        <v>40</v>
      </c>
      <c r="C26" s="8">
        <v>2024</v>
      </c>
      <c r="D26" s="8">
        <v>1</v>
      </c>
      <c r="E26" s="8" t="s">
        <v>3</v>
      </c>
      <c r="F26" s="9">
        <v>4.5</v>
      </c>
      <c r="G26" s="7">
        <f>'[1]לוח 1 table'!$M25</f>
        <v>8783</v>
      </c>
      <c r="H26" s="7">
        <f>'[1]לוח 1 table'!$L25</f>
        <v>8282</v>
      </c>
      <c r="I26" s="7">
        <f>'[1]לוח 1 table'!$K25</f>
        <v>8005</v>
      </c>
      <c r="J26" s="7">
        <f>'[1]לוח 1 table'!$I25</f>
        <v>3958</v>
      </c>
      <c r="K26" s="7">
        <f>'[1]לוח 1 table'!$H25</f>
        <v>3810</v>
      </c>
      <c r="L26" s="7">
        <f>'[1]לוח 1 table'!$G25</f>
        <v>3440</v>
      </c>
      <c r="M26" s="7">
        <f>'[1]לוח 1 table'!$D25</f>
        <v>4825</v>
      </c>
      <c r="N26" s="7">
        <f>'[1]לוח 1 table'!$C25</f>
        <v>4471</v>
      </c>
      <c r="O26" s="7">
        <f>'[1]לוח 1 table'!$B25</f>
        <v>4191</v>
      </c>
      <c r="P26" s="7">
        <f>'[2]2'!$E21</f>
        <v>68632</v>
      </c>
      <c r="Q26" s="7">
        <f>'[2]2'!$D21</f>
        <v>66161</v>
      </c>
      <c r="R26" s="7">
        <f>'[2]2'!$C21</f>
        <v>65649</v>
      </c>
      <c r="S26" s="7">
        <f>T26+U26</f>
        <v>763</v>
      </c>
      <c r="T26" s="8">
        <f>'[3]לוח 3 table'!$G36</f>
        <v>337</v>
      </c>
      <c r="U26" s="8">
        <f>'[3]לוח 3 table'!$G90</f>
        <v>426</v>
      </c>
      <c r="V26" s="7">
        <f>W26+X26</f>
        <v>953</v>
      </c>
      <c r="W26" s="8">
        <f>'[3]לוח 3 table'!$F36</f>
        <v>387</v>
      </c>
      <c r="X26" s="8">
        <f>'[3]לוח 3 table'!$F90</f>
        <v>566</v>
      </c>
      <c r="Y26" s="7">
        <f>Z26+AA26</f>
        <v>1300</v>
      </c>
      <c r="Z26" s="8">
        <f>'[3]לוח 3 table'!$E36</f>
        <v>398</v>
      </c>
      <c r="AA26" s="8">
        <f>'[3]לוח 3 table'!$E90</f>
        <v>902</v>
      </c>
      <c r="AB26" s="7">
        <f>AC26+AD26</f>
        <v>2369</v>
      </c>
      <c r="AC26" s="8">
        <f>'[3]לוח 3 table'!$D36</f>
        <v>1221</v>
      </c>
      <c r="AD26" s="8">
        <f>'[3]לוח 3 table'!$D90</f>
        <v>1148</v>
      </c>
      <c r="AE26" s="7">
        <f>AF26+AG26</f>
        <v>1290</v>
      </c>
      <c r="AF26" s="8">
        <f>'[3]לוח 3 table'!$C36</f>
        <v>614</v>
      </c>
      <c r="AG26" s="8">
        <f>'[3]לוח 3 table'!$C90</f>
        <v>676</v>
      </c>
      <c r="AH26" s="7">
        <f>AI26+AJ26</f>
        <v>1879</v>
      </c>
      <c r="AI26" s="8">
        <f>'[3]לוח 3 table'!$B36</f>
        <v>932</v>
      </c>
      <c r="AJ26" s="8">
        <f>'[3]לוח 3 table'!$B90</f>
        <v>947</v>
      </c>
      <c r="AK26" s="7">
        <f>AL26+AM26</f>
        <v>228</v>
      </c>
      <c r="AL26" s="8">
        <f>'[3]לוח 3 table'!$A36</f>
        <v>69</v>
      </c>
      <c r="AM26" s="8">
        <f>'[3]לוח 3 table'!$A90</f>
        <v>159</v>
      </c>
    </row>
    <row r="27" spans="1:39" x14ac:dyDescent="0.3">
      <c r="A27" t="s">
        <v>41</v>
      </c>
      <c r="B27" t="s">
        <v>40</v>
      </c>
      <c r="C27">
        <v>2024</v>
      </c>
      <c r="D27">
        <v>2</v>
      </c>
      <c r="E27" t="s">
        <v>3</v>
      </c>
      <c r="F27" s="3">
        <v>4.5</v>
      </c>
      <c r="G27" s="1">
        <f>'[1]לוח 1 table'!$M26</f>
        <v>8395</v>
      </c>
      <c r="H27" s="1">
        <f>'[1]לוח 1 table'!$L26</f>
        <v>8202</v>
      </c>
      <c r="I27" s="1">
        <f>'[1]לוח 1 table'!$K26</f>
        <v>8239</v>
      </c>
      <c r="J27" s="1">
        <f>'[1]לוח 1 table'!$I26</f>
        <v>3795</v>
      </c>
      <c r="K27" s="1">
        <f>'[1]לוח 1 table'!$H26</f>
        <v>3684</v>
      </c>
      <c r="L27" s="1">
        <f>'[1]לוח 1 table'!$G26</f>
        <v>3627</v>
      </c>
      <c r="M27" s="1">
        <f>'[1]לוח 1 table'!$D26</f>
        <v>4600</v>
      </c>
      <c r="N27" s="1">
        <f>'[1]לוח 1 table'!$C26</f>
        <v>4518</v>
      </c>
      <c r="O27" s="1">
        <f>'[1]לוח 1 table'!$B26</f>
        <v>4377</v>
      </c>
      <c r="P27" s="7">
        <f>'[2]2'!$E22</f>
        <v>67910</v>
      </c>
      <c r="Q27" s="7">
        <f>'[2]2'!$D22</f>
        <v>66074</v>
      </c>
      <c r="R27" s="7">
        <f>'[2]2'!$C22</f>
        <v>66380</v>
      </c>
      <c r="S27" s="7">
        <f t="shared" ref="S27:S41" si="0">T27+U27</f>
        <v>732</v>
      </c>
      <c r="T27" s="8">
        <f>'[3]לוח 3 table'!$G37</f>
        <v>299</v>
      </c>
      <c r="U27" s="8">
        <f>'[3]לוח 3 table'!$G91</f>
        <v>433</v>
      </c>
      <c r="V27" s="7">
        <f t="shared" ref="V27:V41" si="1">W27+X27</f>
        <v>859</v>
      </c>
      <c r="W27" s="8">
        <f>'[3]לוח 3 table'!$F37</f>
        <v>355</v>
      </c>
      <c r="X27" s="8">
        <f>'[3]לוח 3 table'!$F91</f>
        <v>504</v>
      </c>
      <c r="Y27" s="7">
        <f t="shared" ref="Y27:Y41" si="2">Z27+AA27</f>
        <v>1330</v>
      </c>
      <c r="Z27" s="8">
        <f>'[3]לוח 3 table'!$E37</f>
        <v>513</v>
      </c>
      <c r="AA27" s="8">
        <f>'[3]לוח 3 table'!$E91</f>
        <v>817</v>
      </c>
      <c r="AB27" s="7">
        <f t="shared" ref="AB27:AB41" si="3">AC27+AD27</f>
        <v>2223</v>
      </c>
      <c r="AC27" s="8">
        <f>'[3]לוח 3 table'!$D37</f>
        <v>1164</v>
      </c>
      <c r="AD27" s="8">
        <f>'[3]לוח 3 table'!$D91</f>
        <v>1059</v>
      </c>
      <c r="AE27" s="7">
        <f t="shared" ref="AE27:AE41" si="4">AF27+AG27</f>
        <v>1343</v>
      </c>
      <c r="AF27" s="8">
        <f>'[3]לוח 3 table'!$C37</f>
        <v>629</v>
      </c>
      <c r="AG27" s="8">
        <f>'[3]לוח 3 table'!$C91</f>
        <v>714</v>
      </c>
      <c r="AH27" s="7">
        <f t="shared" ref="AH27:AH41" si="5">AI27+AJ27</f>
        <v>1694</v>
      </c>
      <c r="AI27" s="8">
        <f>'[3]לוח 3 table'!$B37</f>
        <v>789</v>
      </c>
      <c r="AJ27" s="8">
        <f>'[3]לוח 3 table'!$B91</f>
        <v>905</v>
      </c>
      <c r="AK27" s="7">
        <f t="shared" ref="AK27:AK41" si="6">AL27+AM27</f>
        <v>214</v>
      </c>
      <c r="AL27" s="8">
        <f>'[3]לוח 3 table'!$A37</f>
        <v>46</v>
      </c>
      <c r="AM27" s="8">
        <f>'[3]לוח 3 table'!$A91</f>
        <v>168</v>
      </c>
    </row>
    <row r="28" spans="1:39" x14ac:dyDescent="0.3">
      <c r="A28" t="s">
        <v>42</v>
      </c>
      <c r="B28" t="s">
        <v>40</v>
      </c>
      <c r="C28">
        <v>2024</v>
      </c>
      <c r="D28">
        <v>3</v>
      </c>
      <c r="E28" t="s">
        <v>3</v>
      </c>
      <c r="F28" s="3">
        <v>4.5</v>
      </c>
      <c r="G28" s="1">
        <f>'[1]לוח 1 table'!$M27</f>
        <v>8751</v>
      </c>
      <c r="H28" s="1">
        <f>'[1]לוח 1 table'!$L27</f>
        <v>8440</v>
      </c>
      <c r="I28" s="1">
        <f>'[1]לוח 1 table'!$K27</f>
        <v>8447</v>
      </c>
      <c r="J28" s="1">
        <f>'[1]לוח 1 table'!$I27</f>
        <v>3957</v>
      </c>
      <c r="K28" s="1">
        <f>'[1]לוח 1 table'!$H27</f>
        <v>3826</v>
      </c>
      <c r="L28" s="1">
        <f>'[1]לוח 1 table'!$G27</f>
        <v>3775</v>
      </c>
      <c r="M28" s="1">
        <f>'[1]לוח 1 table'!$D27</f>
        <v>4794</v>
      </c>
      <c r="N28" s="1">
        <f>'[1]לוח 1 table'!$C27</f>
        <v>4614</v>
      </c>
      <c r="O28" s="1">
        <f>'[1]לוח 1 table'!$B27</f>
        <v>4550</v>
      </c>
      <c r="P28" s="7">
        <f>'[2]2'!$E23</f>
        <v>67015</v>
      </c>
      <c r="Q28" s="7">
        <f>'[2]2'!$D23</f>
        <v>67490</v>
      </c>
      <c r="R28" s="7">
        <f>'[2]2'!$C23</f>
        <v>66971</v>
      </c>
      <c r="S28" s="7">
        <f t="shared" si="0"/>
        <v>714</v>
      </c>
      <c r="T28" s="8">
        <f>'[3]לוח 3 table'!$G38</f>
        <v>272</v>
      </c>
      <c r="U28" s="8">
        <f>'[3]לוח 3 table'!$G92</f>
        <v>442</v>
      </c>
      <c r="V28" s="7">
        <f t="shared" si="1"/>
        <v>891</v>
      </c>
      <c r="W28" s="8">
        <f>'[3]לוח 3 table'!$F38</f>
        <v>362</v>
      </c>
      <c r="X28" s="8">
        <f>'[3]לוח 3 table'!$F92</f>
        <v>529</v>
      </c>
      <c r="Y28" s="7">
        <f t="shared" si="2"/>
        <v>1368</v>
      </c>
      <c r="Z28" s="8">
        <f>'[3]לוח 3 table'!$E38</f>
        <v>467</v>
      </c>
      <c r="AA28" s="8">
        <f>'[3]לוח 3 table'!$E92</f>
        <v>901</v>
      </c>
      <c r="AB28" s="7">
        <f t="shared" si="3"/>
        <v>2360</v>
      </c>
      <c r="AC28" s="8">
        <f>'[3]לוח 3 table'!$D38</f>
        <v>1234</v>
      </c>
      <c r="AD28" s="8">
        <f>'[3]לוח 3 table'!$D92</f>
        <v>1126</v>
      </c>
      <c r="AE28" s="7">
        <f t="shared" si="4"/>
        <v>1469</v>
      </c>
      <c r="AF28" s="8">
        <f>'[3]לוח 3 table'!$C38</f>
        <v>736</v>
      </c>
      <c r="AG28" s="8">
        <f>'[3]לוח 3 table'!$C92</f>
        <v>733</v>
      </c>
      <c r="AH28" s="7">
        <f t="shared" si="5"/>
        <v>1771</v>
      </c>
      <c r="AI28" s="8">
        <f>'[3]לוח 3 table'!$B38</f>
        <v>856</v>
      </c>
      <c r="AJ28" s="8">
        <f>'[3]לוח 3 table'!$B92</f>
        <v>915</v>
      </c>
      <c r="AK28" s="7">
        <f t="shared" si="6"/>
        <v>177</v>
      </c>
      <c r="AL28" s="8">
        <f>'[3]לוח 3 table'!$A38</f>
        <v>30</v>
      </c>
      <c r="AM28" s="8">
        <f>'[3]לוח 3 table'!$A92</f>
        <v>147</v>
      </c>
    </row>
    <row r="29" spans="1:39" x14ac:dyDescent="0.3">
      <c r="A29" t="s">
        <v>43</v>
      </c>
      <c r="B29" t="s">
        <v>44</v>
      </c>
      <c r="C29">
        <v>2024</v>
      </c>
      <c r="D29">
        <v>4</v>
      </c>
      <c r="E29" t="s">
        <v>4</v>
      </c>
      <c r="F29" s="3">
        <v>4.5</v>
      </c>
      <c r="G29" s="1">
        <f>'[1]לוח 1 table'!$M28</f>
        <v>7833</v>
      </c>
      <c r="H29" s="1">
        <f>'[1]לוח 1 table'!$L28</f>
        <v>8602</v>
      </c>
      <c r="I29" s="1">
        <f>'[1]לוח 1 table'!$K28</f>
        <v>8608</v>
      </c>
      <c r="J29" s="1">
        <f>'[1]לוח 1 table'!$I28</f>
        <v>3505</v>
      </c>
      <c r="K29" s="1">
        <f>'[1]לוח 1 table'!$H28</f>
        <v>3916</v>
      </c>
      <c r="L29" s="1">
        <f>'[1]לוח 1 table'!$G28</f>
        <v>3866</v>
      </c>
      <c r="M29" s="1">
        <f>'[1]לוח 1 table'!$D28</f>
        <v>4328</v>
      </c>
      <c r="N29" s="1">
        <f>'[1]לוח 1 table'!$C28</f>
        <v>4686</v>
      </c>
      <c r="O29" s="1">
        <f>'[1]לוח 1 table'!$B28</f>
        <v>4705</v>
      </c>
      <c r="P29" s="7">
        <f>'[2]2'!$E24</f>
        <v>65876</v>
      </c>
      <c r="Q29" s="7">
        <f>'[2]2'!$D24</f>
        <v>67448</v>
      </c>
      <c r="R29" s="7">
        <f>'[2]2'!$C24</f>
        <v>67452</v>
      </c>
      <c r="S29" s="7">
        <f t="shared" si="0"/>
        <v>722</v>
      </c>
      <c r="T29" s="8">
        <f>'[3]לוח 3 table'!$G39</f>
        <v>316</v>
      </c>
      <c r="U29" s="8">
        <f>'[3]לוח 3 table'!$G93</f>
        <v>406</v>
      </c>
      <c r="V29" s="7">
        <f t="shared" si="1"/>
        <v>891</v>
      </c>
      <c r="W29" s="8">
        <f>'[3]לוח 3 table'!$F39</f>
        <v>460</v>
      </c>
      <c r="X29" s="8">
        <f>'[3]לוח 3 table'!$F93</f>
        <v>431</v>
      </c>
      <c r="Y29" s="7">
        <f t="shared" si="2"/>
        <v>1222</v>
      </c>
      <c r="Z29" s="8">
        <f>'[3]לוח 3 table'!$E39</f>
        <v>459</v>
      </c>
      <c r="AA29" s="8">
        <f>'[3]לוח 3 table'!$E93</f>
        <v>763</v>
      </c>
      <c r="AB29" s="7">
        <f t="shared" si="3"/>
        <v>1960</v>
      </c>
      <c r="AC29" s="8">
        <f>'[3]לוח 3 table'!$D39</f>
        <v>859</v>
      </c>
      <c r="AD29" s="8">
        <f>'[3]לוח 3 table'!$D93</f>
        <v>1101</v>
      </c>
      <c r="AE29" s="7">
        <f t="shared" si="4"/>
        <v>1388</v>
      </c>
      <c r="AF29" s="8">
        <f>'[3]לוח 3 table'!$C39</f>
        <v>703</v>
      </c>
      <c r="AG29" s="8">
        <f>'[3]לוח 3 table'!$C93</f>
        <v>685</v>
      </c>
      <c r="AH29" s="7">
        <f t="shared" si="5"/>
        <v>1523</v>
      </c>
      <c r="AI29" s="8">
        <f>'[3]לוח 3 table'!$B39</f>
        <v>684</v>
      </c>
      <c r="AJ29" s="8">
        <f>'[3]לוח 3 table'!$B93</f>
        <v>839</v>
      </c>
      <c r="AK29" s="7">
        <f t="shared" si="6"/>
        <v>128</v>
      </c>
      <c r="AL29" s="8">
        <f>'[3]לוח 3 table'!$A39</f>
        <v>25</v>
      </c>
      <c r="AM29" s="8">
        <f>'[3]לוח 3 table'!$A93</f>
        <v>103</v>
      </c>
    </row>
    <row r="30" spans="1:39" x14ac:dyDescent="0.3">
      <c r="A30" t="s">
        <v>45</v>
      </c>
      <c r="B30" t="s">
        <v>44</v>
      </c>
      <c r="C30">
        <v>2024</v>
      </c>
      <c r="D30">
        <v>5</v>
      </c>
      <c r="E30" t="s">
        <v>4</v>
      </c>
      <c r="F30" s="3">
        <v>4.5</v>
      </c>
      <c r="G30" s="1">
        <f>'[1]לוח 1 table'!$M29</f>
        <v>8472</v>
      </c>
      <c r="H30" s="1">
        <f>'[1]לוח 1 table'!$L29</f>
        <v>8475</v>
      </c>
      <c r="I30" s="1">
        <f>'[1]לוח 1 table'!$K29</f>
        <v>8697</v>
      </c>
      <c r="J30" s="1">
        <f>'[1]לוח 1 table'!$I29</f>
        <v>3923</v>
      </c>
      <c r="K30" s="1">
        <f>'[1]לוח 1 table'!$H29</f>
        <v>3860</v>
      </c>
      <c r="L30" s="1">
        <f>'[1]לוח 1 table'!$G29</f>
        <v>3893</v>
      </c>
      <c r="M30" s="1">
        <f>'[1]לוח 1 table'!$D29</f>
        <v>4549</v>
      </c>
      <c r="N30" s="1">
        <f>'[1]לוח 1 table'!$C29</f>
        <v>4614</v>
      </c>
      <c r="O30" s="1">
        <f>'[1]לוח 1 table'!$B29</f>
        <v>4844</v>
      </c>
      <c r="P30" s="7">
        <f>'[2]2'!$E25</f>
        <v>66841</v>
      </c>
      <c r="Q30" s="7">
        <f>'[2]2'!$D25</f>
        <v>67768</v>
      </c>
      <c r="R30" s="7">
        <f>'[2]2'!$C25</f>
        <v>67869</v>
      </c>
      <c r="S30" s="7">
        <f t="shared" si="0"/>
        <v>738</v>
      </c>
      <c r="T30" s="8">
        <f>'[3]לוח 3 table'!$G40</f>
        <v>365</v>
      </c>
      <c r="U30" s="8">
        <f>'[3]לוח 3 table'!$G94</f>
        <v>373</v>
      </c>
      <c r="V30" s="7">
        <f t="shared" si="1"/>
        <v>1018</v>
      </c>
      <c r="W30" s="8">
        <f>'[3]לוח 3 table'!$F40</f>
        <v>494</v>
      </c>
      <c r="X30" s="8">
        <f>'[3]לוח 3 table'!$F94</f>
        <v>524</v>
      </c>
      <c r="Y30" s="7">
        <f t="shared" si="2"/>
        <v>1338</v>
      </c>
      <c r="Z30" s="8">
        <f>'[3]לוח 3 table'!$E40</f>
        <v>523</v>
      </c>
      <c r="AA30" s="8">
        <f>'[3]לוח 3 table'!$E94</f>
        <v>815</v>
      </c>
      <c r="AB30" s="7">
        <f t="shared" si="3"/>
        <v>2101</v>
      </c>
      <c r="AC30" s="8">
        <f>'[3]לוח 3 table'!$D40</f>
        <v>970</v>
      </c>
      <c r="AD30" s="8">
        <f>'[3]לוח 3 table'!$D94</f>
        <v>1131</v>
      </c>
      <c r="AE30" s="7">
        <f t="shared" si="4"/>
        <v>1442</v>
      </c>
      <c r="AF30" s="8">
        <f>'[3]לוח 3 table'!$C40</f>
        <v>794</v>
      </c>
      <c r="AG30" s="8">
        <f>'[3]לוח 3 table'!$C94</f>
        <v>648</v>
      </c>
      <c r="AH30" s="7">
        <f t="shared" si="5"/>
        <v>1634</v>
      </c>
      <c r="AI30" s="8">
        <f>'[3]לוח 3 table'!$B40</f>
        <v>738</v>
      </c>
      <c r="AJ30" s="8">
        <f>'[3]לוח 3 table'!$B94</f>
        <v>896</v>
      </c>
      <c r="AK30" s="7">
        <f t="shared" si="6"/>
        <v>199</v>
      </c>
      <c r="AL30" s="8">
        <f>'[3]לוח 3 table'!$A40</f>
        <v>37</v>
      </c>
      <c r="AM30" s="8">
        <f>'[3]לוח 3 table'!$A94</f>
        <v>162</v>
      </c>
    </row>
    <row r="31" spans="1:39" x14ac:dyDescent="0.3">
      <c r="A31" t="s">
        <v>46</v>
      </c>
      <c r="B31" t="s">
        <v>44</v>
      </c>
      <c r="C31">
        <v>2024</v>
      </c>
      <c r="D31">
        <v>6</v>
      </c>
      <c r="E31" t="s">
        <v>4</v>
      </c>
      <c r="F31" s="3">
        <v>4.5</v>
      </c>
      <c r="G31" s="1">
        <f>'[1]לוח 1 table'!$M30</f>
        <v>8810</v>
      </c>
      <c r="H31" s="1">
        <f>'[1]לוח 1 table'!$L30</f>
        <v>8838</v>
      </c>
      <c r="I31" s="1">
        <f>'[1]לוח 1 table'!$K30</f>
        <v>8696</v>
      </c>
      <c r="J31" s="1">
        <f>'[1]לוח 1 table'!$I30</f>
        <v>3787</v>
      </c>
      <c r="K31" s="1">
        <f>'[1]לוח 1 table'!$H30</f>
        <v>3859</v>
      </c>
      <c r="L31" s="1">
        <f>'[1]לוח 1 table'!$G30</f>
        <v>3862</v>
      </c>
      <c r="M31" s="1">
        <f>'[1]לוח 1 table'!$D30</f>
        <v>5023</v>
      </c>
      <c r="N31" s="1">
        <f>'[1]לוח 1 table'!$C30</f>
        <v>4978</v>
      </c>
      <c r="O31" s="1">
        <f>'[1]לוח 1 table'!$B30</f>
        <v>4978</v>
      </c>
      <c r="P31" s="7">
        <f>'[2]2'!$E26</f>
        <v>67619</v>
      </c>
      <c r="Q31" s="7">
        <f>'[2]2'!$D26</f>
        <v>68610</v>
      </c>
      <c r="R31" s="7">
        <f>'[2]2'!$C26</f>
        <v>68270</v>
      </c>
      <c r="S31" s="7">
        <f t="shared" si="0"/>
        <v>749</v>
      </c>
      <c r="T31" s="8">
        <f>'[3]לוח 3 table'!$G41</f>
        <v>295</v>
      </c>
      <c r="U31" s="8">
        <f>'[3]לוח 3 table'!$G95</f>
        <v>454</v>
      </c>
      <c r="V31" s="7">
        <f t="shared" si="1"/>
        <v>1062</v>
      </c>
      <c r="W31" s="8">
        <f>'[3]לוח 3 table'!$F41</f>
        <v>442</v>
      </c>
      <c r="X31" s="8">
        <f>'[3]לוח 3 table'!$F95</f>
        <v>620</v>
      </c>
      <c r="Y31" s="7">
        <f t="shared" si="2"/>
        <v>1280</v>
      </c>
      <c r="Z31" s="8">
        <f>'[3]לוח 3 table'!$E41</f>
        <v>391</v>
      </c>
      <c r="AA31" s="8">
        <f>'[3]לוח 3 table'!$E95</f>
        <v>889</v>
      </c>
      <c r="AB31" s="7">
        <f t="shared" si="3"/>
        <v>2029</v>
      </c>
      <c r="AC31" s="8">
        <f>'[3]לוח 3 table'!$D41</f>
        <v>858</v>
      </c>
      <c r="AD31" s="8">
        <f>'[3]לוח 3 table'!$D95</f>
        <v>1171</v>
      </c>
      <c r="AE31" s="7">
        <f t="shared" si="4"/>
        <v>1654</v>
      </c>
      <c r="AF31" s="8">
        <f>'[3]לוח 3 table'!$C41</f>
        <v>920</v>
      </c>
      <c r="AG31" s="8">
        <f>'[3]לוח 3 table'!$C95</f>
        <v>734</v>
      </c>
      <c r="AH31" s="7">
        <f t="shared" si="5"/>
        <v>1837</v>
      </c>
      <c r="AI31" s="8">
        <f>'[3]לוח 3 table'!$B41</f>
        <v>841</v>
      </c>
      <c r="AJ31" s="8">
        <f>'[3]לוח 3 table'!$B95</f>
        <v>996</v>
      </c>
      <c r="AK31" s="7">
        <f t="shared" si="6"/>
        <v>200</v>
      </c>
      <c r="AL31" s="8">
        <f>'[3]לוח 3 table'!$A41</f>
        <v>40</v>
      </c>
      <c r="AM31" s="8">
        <f>'[3]לוח 3 table'!$A95</f>
        <v>160</v>
      </c>
    </row>
    <row r="32" spans="1:39" x14ac:dyDescent="0.3">
      <c r="A32" t="s">
        <v>47</v>
      </c>
      <c r="B32" t="s">
        <v>48</v>
      </c>
      <c r="C32">
        <v>2024</v>
      </c>
      <c r="D32">
        <v>7</v>
      </c>
      <c r="E32" t="s">
        <v>5</v>
      </c>
      <c r="F32" s="3">
        <v>4.5</v>
      </c>
      <c r="G32" s="1">
        <f>'[1]לוח 1 table'!$M31</f>
        <v>9700</v>
      </c>
      <c r="H32" s="1">
        <f>'[1]לוח 1 table'!$L31</f>
        <v>9131</v>
      </c>
      <c r="I32" s="1">
        <f>'[1]לוח 1 table'!$K31</f>
        <v>8608</v>
      </c>
      <c r="J32" s="1">
        <f>'[1]לוח 1 table'!$I31</f>
        <v>4024</v>
      </c>
      <c r="K32" s="1">
        <f>'[1]לוח 1 table'!$H31</f>
        <v>4043</v>
      </c>
      <c r="L32" s="1">
        <f>'[1]לוח 1 table'!$G31</f>
        <v>3789</v>
      </c>
      <c r="M32" s="1">
        <f>'[1]לוח 1 table'!$D31</f>
        <v>5676</v>
      </c>
      <c r="N32" s="1">
        <f>'[1]לוח 1 table'!$C31</f>
        <v>5088</v>
      </c>
      <c r="O32" s="1">
        <f>'[1]לוח 1 table'!$B31</f>
        <v>5109</v>
      </c>
      <c r="P32" s="7">
        <f>'[2]2'!$E27</f>
        <v>68877</v>
      </c>
      <c r="Q32" s="7">
        <f>'[2]2'!$D27</f>
        <v>69033</v>
      </c>
      <c r="R32" s="7">
        <f>'[2]2'!$C27</f>
        <v>68722</v>
      </c>
      <c r="S32" s="7">
        <f t="shared" si="0"/>
        <v>989</v>
      </c>
      <c r="T32" s="8">
        <f>'[3]לוח 3 table'!$G42</f>
        <v>443</v>
      </c>
      <c r="U32" s="8">
        <f>'[3]לוח 3 table'!$G96</f>
        <v>546</v>
      </c>
      <c r="V32" s="7">
        <f t="shared" si="1"/>
        <v>1215</v>
      </c>
      <c r="W32" s="8">
        <f>'[3]לוח 3 table'!$F42</f>
        <v>517</v>
      </c>
      <c r="X32" s="8">
        <f>'[3]לוח 3 table'!$F96</f>
        <v>698</v>
      </c>
      <c r="Y32" s="7">
        <f t="shared" si="2"/>
        <v>1421</v>
      </c>
      <c r="Z32" s="8">
        <f>'[3]לוח 3 table'!$E42</f>
        <v>447</v>
      </c>
      <c r="AA32" s="8">
        <f>'[3]לוח 3 table'!$E96</f>
        <v>974</v>
      </c>
      <c r="AB32" s="7">
        <f t="shared" si="3"/>
        <v>2119</v>
      </c>
      <c r="AC32" s="8">
        <f>'[3]לוח 3 table'!$D42</f>
        <v>827</v>
      </c>
      <c r="AD32" s="8">
        <f>'[3]לוח 3 table'!$D96</f>
        <v>1292</v>
      </c>
      <c r="AE32" s="7">
        <f t="shared" si="4"/>
        <v>1595</v>
      </c>
      <c r="AF32" s="8">
        <f>'[3]לוח 3 table'!$C42</f>
        <v>727</v>
      </c>
      <c r="AG32" s="8">
        <f>'[3]לוח 3 table'!$C96</f>
        <v>868</v>
      </c>
      <c r="AH32" s="7">
        <f t="shared" si="5"/>
        <v>2124</v>
      </c>
      <c r="AI32" s="8">
        <f>'[3]לוח 3 table'!$B42</f>
        <v>1021</v>
      </c>
      <c r="AJ32" s="8">
        <f>'[3]לוח 3 table'!$B96</f>
        <v>1103</v>
      </c>
      <c r="AK32" s="7">
        <f t="shared" si="6"/>
        <v>236</v>
      </c>
      <c r="AL32" s="8">
        <f>'[3]לוח 3 table'!$A42</f>
        <v>40</v>
      </c>
      <c r="AM32" s="8">
        <f>'[3]לוח 3 table'!$A96</f>
        <v>196</v>
      </c>
    </row>
    <row r="33" spans="1:39" x14ac:dyDescent="0.3">
      <c r="A33" t="s">
        <v>49</v>
      </c>
      <c r="B33" t="s">
        <v>48</v>
      </c>
      <c r="C33">
        <v>2024</v>
      </c>
      <c r="D33">
        <v>8</v>
      </c>
      <c r="E33" t="s">
        <v>5</v>
      </c>
      <c r="F33" s="3">
        <v>4.5</v>
      </c>
      <c r="G33" s="1">
        <f>'[1]לוח 1 table'!$M32</f>
        <v>7983</v>
      </c>
      <c r="H33" s="1">
        <f>'[1]לוח 1 table'!$L32</f>
        <v>8902</v>
      </c>
      <c r="I33" s="1">
        <f>'[1]לוח 1 table'!$K32</f>
        <v>8455</v>
      </c>
      <c r="J33" s="1">
        <f>'[1]לוח 1 table'!$I32</f>
        <v>3487</v>
      </c>
      <c r="K33" s="1">
        <f>'[1]לוח 1 table'!$H32</f>
        <v>3726</v>
      </c>
      <c r="L33" s="1">
        <f>'[1]לוח 1 table'!$G32</f>
        <v>3689</v>
      </c>
      <c r="M33" s="1">
        <f>'[1]לוח 1 table'!$D32</f>
        <v>4496</v>
      </c>
      <c r="N33" s="1">
        <f>'[1]לוח 1 table'!$C32</f>
        <v>5176</v>
      </c>
      <c r="O33" s="1">
        <f>'[1]לוח 1 table'!$B32</f>
        <v>5232</v>
      </c>
      <c r="P33" s="7">
        <f>'[2]2'!$E28</f>
        <v>68952</v>
      </c>
      <c r="Q33" s="7">
        <f>'[2]2'!$D28</f>
        <v>69532</v>
      </c>
      <c r="R33" s="7">
        <f>'[2]2'!$C28</f>
        <v>69302</v>
      </c>
      <c r="S33" s="7">
        <f t="shared" si="0"/>
        <v>822</v>
      </c>
      <c r="T33" s="8">
        <f>'[3]לוח 3 table'!$G43</f>
        <v>409</v>
      </c>
      <c r="U33" s="8">
        <f>'[3]לוח 3 table'!$G97</f>
        <v>413</v>
      </c>
      <c r="V33" s="7">
        <f t="shared" si="1"/>
        <v>873</v>
      </c>
      <c r="W33" s="8">
        <f>'[3]לוח 3 table'!$F43</f>
        <v>356</v>
      </c>
      <c r="X33" s="8">
        <f>'[3]לוח 3 table'!$F97</f>
        <v>517</v>
      </c>
      <c r="Y33" s="7">
        <f t="shared" si="2"/>
        <v>1182</v>
      </c>
      <c r="Z33" s="8">
        <f>'[3]לוח 3 table'!$E43</f>
        <v>389</v>
      </c>
      <c r="AA33" s="8">
        <f>'[3]לוח 3 table'!$E97</f>
        <v>793</v>
      </c>
      <c r="AB33" s="7">
        <f t="shared" si="3"/>
        <v>1865</v>
      </c>
      <c r="AC33" s="8">
        <f>'[3]לוח 3 table'!$D43</f>
        <v>821</v>
      </c>
      <c r="AD33" s="8">
        <f>'[3]לוח 3 table'!$D97</f>
        <v>1044</v>
      </c>
      <c r="AE33" s="7">
        <f t="shared" si="4"/>
        <v>1381</v>
      </c>
      <c r="AF33" s="8">
        <f>'[3]לוח 3 table'!$C43</f>
        <v>710</v>
      </c>
      <c r="AG33" s="8">
        <f>'[3]לוח 3 table'!$C97</f>
        <v>671</v>
      </c>
      <c r="AH33" s="7">
        <f t="shared" si="5"/>
        <v>1658</v>
      </c>
      <c r="AI33" s="8">
        <f>'[3]לוח 3 table'!$B43</f>
        <v>758</v>
      </c>
      <c r="AJ33" s="8">
        <f>'[3]לוח 3 table'!$B97</f>
        <v>900</v>
      </c>
      <c r="AK33" s="7">
        <f t="shared" si="6"/>
        <v>202</v>
      </c>
      <c r="AL33" s="8">
        <f>'[3]לוח 3 table'!$A43</f>
        <v>44</v>
      </c>
      <c r="AM33" s="8">
        <f>'[3]לוח 3 table'!$A97</f>
        <v>158</v>
      </c>
    </row>
    <row r="34" spans="1:39" x14ac:dyDescent="0.3">
      <c r="A34" t="s">
        <v>50</v>
      </c>
      <c r="B34" t="s">
        <v>48</v>
      </c>
      <c r="C34">
        <v>2024</v>
      </c>
      <c r="D34">
        <v>9</v>
      </c>
      <c r="E34" t="s">
        <v>5</v>
      </c>
      <c r="F34" s="3">
        <v>4.5</v>
      </c>
      <c r="G34" s="1">
        <f>'[1]לוח 1 table'!$M33</f>
        <v>9000</v>
      </c>
      <c r="H34" s="1">
        <f>'[1]לוח 1 table'!$L33</f>
        <v>8597</v>
      </c>
      <c r="I34" s="1">
        <f>'[1]לוח 1 table'!$K33</f>
        <v>8283</v>
      </c>
      <c r="J34" s="1">
        <f>'[1]לוח 1 table'!$I33</f>
        <v>3736</v>
      </c>
      <c r="K34" s="1">
        <f>'[1]לוח 1 table'!$H33</f>
        <v>3467</v>
      </c>
      <c r="L34" s="1">
        <f>'[1]לוח 1 table'!$G33</f>
        <v>3579</v>
      </c>
      <c r="M34" s="1">
        <f>'[1]לוח 1 table'!$D33</f>
        <v>5264</v>
      </c>
      <c r="N34" s="1">
        <f>'[1]לוח 1 table'!$C33</f>
        <v>5130</v>
      </c>
      <c r="O34" s="1">
        <f>'[1]לוח 1 table'!$B33</f>
        <v>5332</v>
      </c>
      <c r="P34" s="7">
        <f>'[2]2'!$E29</f>
        <v>69744</v>
      </c>
      <c r="Q34" s="7">
        <f>'[2]2'!$D29</f>
        <v>69233</v>
      </c>
      <c r="R34" s="7">
        <f>'[2]2'!$C29</f>
        <v>70091</v>
      </c>
      <c r="S34" s="7">
        <f t="shared" si="0"/>
        <v>930</v>
      </c>
      <c r="T34" s="8">
        <f>'[3]לוח 3 table'!$G44</f>
        <v>444</v>
      </c>
      <c r="U34" s="8">
        <f>'[3]לוח 3 table'!$G98</f>
        <v>486</v>
      </c>
      <c r="V34" s="7">
        <f t="shared" si="1"/>
        <v>767</v>
      </c>
      <c r="W34" s="8">
        <f>'[3]לוח 3 table'!$F44</f>
        <v>226</v>
      </c>
      <c r="X34" s="8">
        <f>'[3]לוח 3 table'!$F98</f>
        <v>541</v>
      </c>
      <c r="Y34" s="7">
        <f t="shared" si="2"/>
        <v>1542</v>
      </c>
      <c r="Z34" s="8">
        <f>'[3]לוח 3 table'!$E44</f>
        <v>483</v>
      </c>
      <c r="AA34" s="8">
        <f>'[3]לוח 3 table'!$E98</f>
        <v>1059</v>
      </c>
      <c r="AB34" s="7">
        <f t="shared" si="3"/>
        <v>2033</v>
      </c>
      <c r="AC34" s="8">
        <f>'[3]לוח 3 table'!$D44</f>
        <v>852</v>
      </c>
      <c r="AD34" s="8">
        <f>'[3]לוח 3 table'!$D98</f>
        <v>1181</v>
      </c>
      <c r="AE34" s="7">
        <f t="shared" si="4"/>
        <v>1471</v>
      </c>
      <c r="AF34" s="8">
        <f>'[3]לוח 3 table'!$C44</f>
        <v>718</v>
      </c>
      <c r="AG34" s="8">
        <f>'[3]לוח 3 table'!$C98</f>
        <v>753</v>
      </c>
      <c r="AH34" s="7">
        <f t="shared" si="5"/>
        <v>1995</v>
      </c>
      <c r="AI34" s="8">
        <f>'[3]לוח 3 table'!$B44</f>
        <v>944</v>
      </c>
      <c r="AJ34" s="8">
        <f>'[3]לוח 3 table'!$B98</f>
        <v>1051</v>
      </c>
      <c r="AK34" s="7">
        <f t="shared" si="6"/>
        <v>262</v>
      </c>
      <c r="AL34" s="8">
        <f>'[3]לוח 3 table'!$A44</f>
        <v>69</v>
      </c>
      <c r="AM34" s="8">
        <f>'[3]לוח 3 table'!$A98</f>
        <v>193</v>
      </c>
    </row>
    <row r="35" spans="1:39" x14ac:dyDescent="0.3">
      <c r="A35" t="s">
        <v>51</v>
      </c>
      <c r="B35" t="s">
        <v>52</v>
      </c>
      <c r="C35">
        <v>2024</v>
      </c>
      <c r="D35">
        <v>10</v>
      </c>
      <c r="E35" t="s">
        <v>6</v>
      </c>
      <c r="F35" s="3">
        <v>4.5</v>
      </c>
      <c r="G35" s="1">
        <f>'[1]לוח 1 table'!$M34</f>
        <v>5594</v>
      </c>
      <c r="H35" s="1">
        <f>'[1]לוח 1 table'!$L34</f>
        <v>7408</v>
      </c>
      <c r="I35" s="1">
        <f>'[1]לוח 1 table'!$K34</f>
        <v>8129</v>
      </c>
      <c r="J35" s="1">
        <f>'[1]לוח 1 table'!$I34</f>
        <v>2400</v>
      </c>
      <c r="K35" s="1">
        <f>'[1]לוח 1 table'!$H34</f>
        <v>3455</v>
      </c>
      <c r="L35" s="1">
        <f>'[1]לוח 1 table'!$G34</f>
        <v>3467</v>
      </c>
      <c r="M35" s="1">
        <f>'[1]לוח 1 table'!$D34</f>
        <v>3194</v>
      </c>
      <c r="N35" s="1">
        <f>'[1]לוח 1 table'!$C34</f>
        <v>3952</v>
      </c>
      <c r="O35" s="1">
        <f>'[1]לוח 1 table'!$B34</f>
        <v>5385</v>
      </c>
      <c r="P35" s="7">
        <f>'[2]2'!$E30</f>
        <v>69943</v>
      </c>
      <c r="Q35" s="7">
        <f>'[2]2'!$D30</f>
        <v>70349</v>
      </c>
      <c r="R35" s="7">
        <f>'[2]2'!$C30</f>
        <v>71145</v>
      </c>
      <c r="S35" s="7">
        <f t="shared" si="0"/>
        <v>471</v>
      </c>
      <c r="T35" s="8">
        <f>'[3]לוח 3 table'!$G45</f>
        <v>194</v>
      </c>
      <c r="U35" s="8">
        <f>'[3]לוח 3 table'!$G99</f>
        <v>277</v>
      </c>
      <c r="V35" s="7">
        <f t="shared" si="1"/>
        <v>597</v>
      </c>
      <c r="W35" s="8">
        <f>'[3]לוח 3 table'!$F45</f>
        <v>239</v>
      </c>
      <c r="X35" s="8">
        <f>'[3]לוח 3 table'!$F99</f>
        <v>358</v>
      </c>
      <c r="Y35" s="7">
        <f t="shared" si="2"/>
        <v>853</v>
      </c>
      <c r="Z35" s="8">
        <f>'[3]לוח 3 table'!$E45</f>
        <v>267</v>
      </c>
      <c r="AA35" s="8">
        <f>'[3]לוח 3 table'!$E99</f>
        <v>586</v>
      </c>
      <c r="AB35" s="7">
        <f t="shared" si="3"/>
        <v>1341</v>
      </c>
      <c r="AC35" s="8">
        <f>'[3]לוח 3 table'!$D45</f>
        <v>610</v>
      </c>
      <c r="AD35" s="8">
        <f>'[3]לוח 3 table'!$D99</f>
        <v>731</v>
      </c>
      <c r="AE35" s="7">
        <f t="shared" si="4"/>
        <v>901</v>
      </c>
      <c r="AF35" s="8">
        <f>'[3]לוח 3 table'!$C45</f>
        <v>416</v>
      </c>
      <c r="AG35" s="8">
        <f>'[3]לוח 3 table'!$C99</f>
        <v>485</v>
      </c>
      <c r="AH35" s="7">
        <f t="shared" si="5"/>
        <v>1302</v>
      </c>
      <c r="AI35" s="8">
        <f>'[3]לוח 3 table'!$B45</f>
        <v>633</v>
      </c>
      <c r="AJ35" s="8">
        <f>'[3]לוח 3 table'!$B99</f>
        <v>669</v>
      </c>
      <c r="AK35" s="7">
        <f t="shared" si="6"/>
        <v>125</v>
      </c>
      <c r="AL35" s="8">
        <f>'[3]לוח 3 table'!$A45</f>
        <v>39</v>
      </c>
      <c r="AM35" s="8">
        <f>'[3]לוח 3 table'!$A99</f>
        <v>86</v>
      </c>
    </row>
    <row r="36" spans="1:39" x14ac:dyDescent="0.3">
      <c r="A36" t="s">
        <v>53</v>
      </c>
      <c r="B36" t="s">
        <v>52</v>
      </c>
      <c r="C36">
        <v>2024</v>
      </c>
      <c r="D36">
        <v>11</v>
      </c>
      <c r="E36" t="s">
        <v>6</v>
      </c>
      <c r="F36" s="3">
        <v>4.5</v>
      </c>
      <c r="G36" s="1">
        <f>'[1]לוח 1 table'!$M35</f>
        <v>7544</v>
      </c>
      <c r="H36" s="1">
        <f>'[1]לוח 1 table'!$L35</f>
        <v>7272</v>
      </c>
      <c r="I36" s="1">
        <f>'[1]לוח 1 table'!$K35</f>
        <v>8012</v>
      </c>
      <c r="J36" s="1">
        <f>'[1]לוח 1 table'!$I35</f>
        <v>3130</v>
      </c>
      <c r="K36" s="1">
        <f>'[1]לוח 1 table'!$H35</f>
        <v>3041</v>
      </c>
      <c r="L36" s="1">
        <f>'[1]לוח 1 table'!$G35</f>
        <v>3356</v>
      </c>
      <c r="M36" s="1">
        <f>'[1]לוח 1 table'!$D35</f>
        <v>4414</v>
      </c>
      <c r="N36" s="1">
        <f>'[1]לוח 1 table'!$C35</f>
        <v>4231</v>
      </c>
      <c r="O36" s="1">
        <f>'[1]לוח 1 table'!$B35</f>
        <v>5375</v>
      </c>
      <c r="P36" s="7">
        <f>'[2]2'!$E31</f>
        <v>71690</v>
      </c>
      <c r="Q36" s="7">
        <f>'[2]2'!$D31</f>
        <v>72151</v>
      </c>
      <c r="R36" s="7">
        <f>'[2]2'!$C31</f>
        <v>72470</v>
      </c>
      <c r="S36" s="7">
        <f t="shared" si="0"/>
        <v>673</v>
      </c>
      <c r="T36" s="8">
        <f>'[3]לוח 3 table'!$G46</f>
        <v>258</v>
      </c>
      <c r="U36" s="8">
        <f>'[3]לוח 3 table'!$G100</f>
        <v>415</v>
      </c>
      <c r="V36" s="7">
        <f t="shared" si="1"/>
        <v>810</v>
      </c>
      <c r="W36" s="8">
        <f>'[3]לוח 3 table'!$F46</f>
        <v>333</v>
      </c>
      <c r="X36" s="8">
        <f>'[3]לוח 3 table'!$F100</f>
        <v>477</v>
      </c>
      <c r="Y36" s="7">
        <f t="shared" si="2"/>
        <v>1101</v>
      </c>
      <c r="Z36" s="8">
        <f>'[3]לוח 3 table'!$E46</f>
        <v>356</v>
      </c>
      <c r="AA36" s="8">
        <f>'[3]לוח 3 table'!$E100</f>
        <v>745</v>
      </c>
      <c r="AB36" s="7">
        <f t="shared" si="3"/>
        <v>1804</v>
      </c>
      <c r="AC36" s="8">
        <f>'[3]לוח 3 table'!$D46</f>
        <v>769</v>
      </c>
      <c r="AD36" s="8">
        <f>'[3]לוח 3 table'!$D100</f>
        <v>1035</v>
      </c>
      <c r="AE36" s="7">
        <f t="shared" si="4"/>
        <v>1251</v>
      </c>
      <c r="AF36" s="8">
        <f>'[3]לוח 3 table'!$C46</f>
        <v>562</v>
      </c>
      <c r="AG36" s="8">
        <f>'[3]לוח 3 table'!$C100</f>
        <v>689</v>
      </c>
      <c r="AH36" s="7">
        <f t="shared" si="5"/>
        <v>1725</v>
      </c>
      <c r="AI36" s="8">
        <f>'[3]לוח 3 table'!$B46</f>
        <v>791</v>
      </c>
      <c r="AJ36" s="8">
        <f>'[3]לוח 3 table'!$B100</f>
        <v>934</v>
      </c>
      <c r="AK36" s="7">
        <f t="shared" si="6"/>
        <v>181</v>
      </c>
      <c r="AL36" s="8">
        <f>'[3]לוח 3 table'!$A46</f>
        <v>61</v>
      </c>
      <c r="AM36" s="8">
        <f>'[3]לוח 3 table'!$A100</f>
        <v>120</v>
      </c>
    </row>
    <row r="37" spans="1:39" x14ac:dyDescent="0.3">
      <c r="A37" t="s">
        <v>54</v>
      </c>
      <c r="B37" t="s">
        <v>52</v>
      </c>
      <c r="C37">
        <v>2024</v>
      </c>
      <c r="D37">
        <v>12</v>
      </c>
      <c r="E37" t="s">
        <v>6</v>
      </c>
      <c r="F37" s="3">
        <v>4.5</v>
      </c>
      <c r="G37" s="1">
        <f>'[1]לוח 1 table'!$M36</f>
        <v>12300</v>
      </c>
      <c r="H37" s="1">
        <f>'[1]לוח 1 table'!$L36</f>
        <v>10432</v>
      </c>
      <c r="I37" s="1">
        <f>'[1]לוח 1 table'!$K36</f>
        <v>7928</v>
      </c>
      <c r="J37" s="1">
        <f>'[1]לוח 1 table'!$I36</f>
        <v>6518</v>
      </c>
      <c r="K37" s="1">
        <f>'[1]לוח 1 table'!$H36</f>
        <v>4995</v>
      </c>
      <c r="L37" s="1">
        <f>'[1]לוח 1 table'!$G36</f>
        <v>3248</v>
      </c>
      <c r="M37" s="1">
        <f>'[1]לוח 1 table'!$D36</f>
        <v>5782</v>
      </c>
      <c r="N37" s="1">
        <f>'[1]לוח 1 table'!$C36</f>
        <v>5438</v>
      </c>
      <c r="O37" s="1">
        <f>'[1]לוח 1 table'!$B36</f>
        <v>5297</v>
      </c>
      <c r="P37" s="7">
        <f>'[2]2'!$E32</f>
        <v>76349</v>
      </c>
      <c r="Q37" s="7">
        <f>'[2]2'!$D32</f>
        <v>73614</v>
      </c>
      <c r="R37" s="7">
        <f>'[2]2'!$C32</f>
        <v>74015</v>
      </c>
      <c r="S37" s="7">
        <f t="shared" si="0"/>
        <v>1073</v>
      </c>
      <c r="T37" s="8">
        <f>'[3]לוח 3 table'!$G47</f>
        <v>545</v>
      </c>
      <c r="U37" s="8">
        <f>'[3]לוח 3 table'!$G101</f>
        <v>528</v>
      </c>
      <c r="V37" s="7">
        <f t="shared" si="1"/>
        <v>1313</v>
      </c>
      <c r="W37" s="8">
        <f>'[3]לוח 3 table'!$F47</f>
        <v>639</v>
      </c>
      <c r="X37" s="8">
        <f>'[3]לוח 3 table'!$F101</f>
        <v>674</v>
      </c>
      <c r="Y37" s="7">
        <f t="shared" si="2"/>
        <v>1691</v>
      </c>
      <c r="Z37" s="8">
        <f>'[3]לוח 3 table'!$E47</f>
        <v>721</v>
      </c>
      <c r="AA37" s="8">
        <f>'[3]לוח 3 table'!$E101</f>
        <v>970</v>
      </c>
      <c r="AB37" s="7">
        <f t="shared" si="3"/>
        <v>2827</v>
      </c>
      <c r="AC37" s="8">
        <f>'[3]לוח 3 table'!$D47</f>
        <v>1484</v>
      </c>
      <c r="AD37" s="8">
        <f>'[3]לוח 3 table'!$D101</f>
        <v>1343</v>
      </c>
      <c r="AE37" s="7">
        <f t="shared" si="4"/>
        <v>2247</v>
      </c>
      <c r="AF37" s="8">
        <f>'[3]לוח 3 table'!$C47</f>
        <v>1331</v>
      </c>
      <c r="AG37" s="8">
        <f>'[3]לוח 3 table'!$C101</f>
        <v>916</v>
      </c>
      <c r="AH37" s="7">
        <f t="shared" si="5"/>
        <v>2856</v>
      </c>
      <c r="AI37" s="8">
        <f>'[3]לוח 3 table'!$B47</f>
        <v>1692</v>
      </c>
      <c r="AJ37" s="8">
        <f>'[3]לוח 3 table'!$B101</f>
        <v>1164</v>
      </c>
      <c r="AK37" s="7">
        <f t="shared" si="6"/>
        <v>292</v>
      </c>
      <c r="AL37" s="8">
        <f>'[3]לוח 3 table'!$A47</f>
        <v>106</v>
      </c>
      <c r="AM37" s="8">
        <f>'[3]לוח 3 table'!$A101</f>
        <v>186</v>
      </c>
    </row>
    <row r="38" spans="1:39" x14ac:dyDescent="0.3">
      <c r="A38" t="s">
        <v>55</v>
      </c>
      <c r="B38" t="s">
        <v>56</v>
      </c>
      <c r="C38">
        <v>2025</v>
      </c>
      <c r="D38">
        <v>1</v>
      </c>
      <c r="E38" t="s">
        <v>3</v>
      </c>
      <c r="F38" s="3">
        <v>4.5</v>
      </c>
      <c r="G38" s="1">
        <f>'[1]לוח 1 table'!$M37</f>
        <v>8266</v>
      </c>
      <c r="H38" s="1">
        <f>'[1]לוח 1 table'!$L37</f>
        <v>8492</v>
      </c>
      <c r="I38" s="1">
        <f>'[1]לוח 1 table'!$K37</f>
        <v>7856</v>
      </c>
      <c r="J38" s="1">
        <f>'[1]לוח 1 table'!$I37</f>
        <v>3192</v>
      </c>
      <c r="K38" s="1">
        <f>'[1]לוח 1 table'!$H37</f>
        <v>3307</v>
      </c>
      <c r="L38" s="1">
        <f>'[1]לוח 1 table'!$G37</f>
        <v>3145</v>
      </c>
      <c r="M38" s="1">
        <f>'[1]לוח 1 table'!$D37</f>
        <v>5074</v>
      </c>
      <c r="N38" s="1">
        <f>'[1]לוח 1 table'!$C37</f>
        <v>5186</v>
      </c>
      <c r="O38" s="1">
        <f>'[1]לוח 1 table'!$B37</f>
        <v>5164</v>
      </c>
      <c r="P38" s="7">
        <f>'[2]2'!$E33</f>
        <v>77569</v>
      </c>
      <c r="Q38" s="7">
        <f>'[2]2'!$D33</f>
        <v>75419</v>
      </c>
      <c r="R38" s="7">
        <f>'[2]2'!$C33</f>
        <v>75662</v>
      </c>
      <c r="S38" s="7">
        <f t="shared" si="0"/>
        <v>727</v>
      </c>
      <c r="T38" s="8">
        <f>'[3]לוח 3 table'!$G48</f>
        <v>251</v>
      </c>
      <c r="U38" s="8">
        <f>'[3]לוח 3 table'!$G102</f>
        <v>476</v>
      </c>
      <c r="V38" s="7">
        <f t="shared" si="1"/>
        <v>1031</v>
      </c>
      <c r="W38" s="8">
        <f>'[3]לוח 3 table'!$F48</f>
        <v>321</v>
      </c>
      <c r="X38" s="8">
        <f>'[3]לוח 3 table'!$F102</f>
        <v>710</v>
      </c>
      <c r="Y38" s="7">
        <f t="shared" si="2"/>
        <v>1135</v>
      </c>
      <c r="Z38" s="8">
        <f>'[3]לוח 3 table'!$E48</f>
        <v>316</v>
      </c>
      <c r="AA38" s="8">
        <f>'[3]לוח 3 table'!$E102</f>
        <v>819</v>
      </c>
      <c r="AB38" s="7">
        <f t="shared" si="3"/>
        <v>2135</v>
      </c>
      <c r="AC38" s="8">
        <f>'[3]לוח 3 table'!$D48</f>
        <v>979</v>
      </c>
      <c r="AD38" s="8">
        <f>'[3]לוח 3 table'!$D102</f>
        <v>1156</v>
      </c>
      <c r="AE38" s="7">
        <f t="shared" si="4"/>
        <v>1299</v>
      </c>
      <c r="AF38" s="8">
        <f>'[3]לוח 3 table'!$C48</f>
        <v>568</v>
      </c>
      <c r="AG38" s="8">
        <f>'[3]לוח 3 table'!$C102</f>
        <v>731</v>
      </c>
      <c r="AH38" s="7">
        <f t="shared" si="5"/>
        <v>1741</v>
      </c>
      <c r="AI38" s="8">
        <f>'[3]לוח 3 table'!$B48</f>
        <v>711</v>
      </c>
      <c r="AJ38" s="8">
        <f>'[3]לוח 3 table'!$B102</f>
        <v>1030</v>
      </c>
      <c r="AK38" s="7">
        <f t="shared" si="6"/>
        <v>197</v>
      </c>
      <c r="AL38" s="8">
        <f>'[3]לוח 3 table'!$A48</f>
        <v>46</v>
      </c>
      <c r="AM38" s="8">
        <f>'[3]לוח 3 table'!$A102</f>
        <v>151</v>
      </c>
    </row>
    <row r="39" spans="1:39" x14ac:dyDescent="0.3">
      <c r="A39" t="s">
        <v>57</v>
      </c>
      <c r="B39" t="s">
        <v>56</v>
      </c>
      <c r="C39">
        <v>2025</v>
      </c>
      <c r="D39">
        <v>2</v>
      </c>
      <c r="E39" t="s">
        <v>3</v>
      </c>
      <c r="F39" s="3">
        <v>4.5</v>
      </c>
      <c r="G39" s="1">
        <f>'[1]לוח 1 table'!$M38</f>
        <v>7819</v>
      </c>
      <c r="H39" s="1">
        <f>'[1]לוח 1 table'!$L38</f>
        <v>7997</v>
      </c>
      <c r="I39" s="1">
        <f>'[1]לוח 1 table'!$K38</f>
        <v>7769</v>
      </c>
      <c r="J39" s="1">
        <f>'[1]לוח 1 table'!$I38</f>
        <v>3025</v>
      </c>
      <c r="K39" s="1">
        <f>'[1]לוח 1 table'!$H38</f>
        <v>3124</v>
      </c>
      <c r="L39" s="1">
        <f>'[1]לוח 1 table'!$G38</f>
        <v>3044</v>
      </c>
      <c r="M39" s="1">
        <f>'[1]לוח 1 table'!$D38</f>
        <v>4794</v>
      </c>
      <c r="N39" s="1">
        <f>'[1]לוח 1 table'!$C38</f>
        <v>4873</v>
      </c>
      <c r="O39" s="1">
        <f>'[1]לוח 1 table'!$B38</f>
        <v>4997</v>
      </c>
      <c r="P39" s="7">
        <f>'[2]2'!$E34</f>
        <v>77506</v>
      </c>
      <c r="Q39" s="7">
        <f>'[2]2'!$D34</f>
        <v>78293</v>
      </c>
      <c r="R39" s="7">
        <f>'[2]2'!$C34</f>
        <v>77241</v>
      </c>
      <c r="S39" s="7">
        <f t="shared" si="0"/>
        <v>782</v>
      </c>
      <c r="T39" s="8">
        <f>'[3]לוח 3 table'!$G49</f>
        <v>328</v>
      </c>
      <c r="U39" s="8">
        <f>'[3]לוח 3 table'!$G103</f>
        <v>454</v>
      </c>
      <c r="V39" s="7">
        <f t="shared" si="1"/>
        <v>835</v>
      </c>
      <c r="W39" s="8">
        <f>'[3]לוח 3 table'!$F49</f>
        <v>243</v>
      </c>
      <c r="X39" s="8">
        <f>'[3]לוח 3 table'!$F103</f>
        <v>592</v>
      </c>
      <c r="Y39" s="7">
        <f t="shared" si="2"/>
        <v>1133</v>
      </c>
      <c r="Z39" s="8">
        <f>'[3]לוח 3 table'!$E49</f>
        <v>340</v>
      </c>
      <c r="AA39" s="8">
        <f>'[3]לוח 3 table'!$E103</f>
        <v>793</v>
      </c>
      <c r="AB39" s="7">
        <f t="shared" si="3"/>
        <v>1987</v>
      </c>
      <c r="AC39" s="8">
        <f>'[3]לוח 3 table'!$D49</f>
        <v>873</v>
      </c>
      <c r="AD39" s="8">
        <f>'[3]לוח 3 table'!$D103</f>
        <v>1114</v>
      </c>
      <c r="AE39" s="7">
        <f t="shared" si="4"/>
        <v>1296</v>
      </c>
      <c r="AF39" s="8">
        <f>'[3]לוח 3 table'!$C49</f>
        <v>579</v>
      </c>
      <c r="AG39" s="8">
        <f>'[3]לוח 3 table'!$C103</f>
        <v>717</v>
      </c>
      <c r="AH39" s="7">
        <f t="shared" si="5"/>
        <v>1575</v>
      </c>
      <c r="AI39" s="8">
        <f>'[3]לוח 3 table'!$B49</f>
        <v>625</v>
      </c>
      <c r="AJ39" s="8">
        <f>'[3]לוח 3 table'!$B103</f>
        <v>950</v>
      </c>
      <c r="AK39" s="7">
        <f t="shared" si="6"/>
        <v>207</v>
      </c>
      <c r="AL39" s="8">
        <f>'[3]לוח 3 table'!$A49</f>
        <v>35</v>
      </c>
      <c r="AM39" s="8">
        <f>'[3]לוח 3 table'!$A103</f>
        <v>172</v>
      </c>
    </row>
    <row r="40" spans="1:39" x14ac:dyDescent="0.3">
      <c r="A40" t="s">
        <v>58</v>
      </c>
      <c r="B40" t="s">
        <v>56</v>
      </c>
      <c r="C40">
        <v>2025</v>
      </c>
      <c r="D40">
        <v>3</v>
      </c>
      <c r="E40" t="s">
        <v>3</v>
      </c>
      <c r="F40" s="3">
        <v>4.5</v>
      </c>
      <c r="G40" s="1">
        <f>'[1]לוח 1 table'!$M39</f>
        <v>8328</v>
      </c>
      <c r="H40" s="1">
        <f>'[1]לוח 1 table'!$L39</f>
        <v>7539</v>
      </c>
      <c r="I40" s="1">
        <f>'[1]לוח 1 table'!$K39</f>
        <v>7656</v>
      </c>
      <c r="J40" s="1">
        <f>'[1]לוח 1 table'!$I39</f>
        <v>3216</v>
      </c>
      <c r="K40" s="1">
        <f>'[1]לוח 1 table'!$H39</f>
        <v>2912</v>
      </c>
      <c r="L40" s="1">
        <f>'[1]לוח 1 table'!$G39</f>
        <v>2948</v>
      </c>
      <c r="M40" s="1">
        <f>'[1]לוח 1 table'!$D39</f>
        <v>5112</v>
      </c>
      <c r="N40" s="1">
        <f>'[1]לוח 1 table'!$C39</f>
        <v>4627</v>
      </c>
      <c r="O40" s="1">
        <f>'[1]לוח 1 table'!$B39</f>
        <v>4826</v>
      </c>
      <c r="P40" s="7">
        <f>'[2]2'!$E35</f>
        <v>78534</v>
      </c>
      <c r="Q40" s="7">
        <f>'[2]2'!$D35</f>
        <v>79054</v>
      </c>
      <c r="R40" s="7">
        <f>'[2]2'!$C35</f>
        <v>78590</v>
      </c>
      <c r="S40" s="7">
        <f t="shared" si="0"/>
        <v>732</v>
      </c>
      <c r="T40" s="8">
        <f>'[3]לוח 3 table'!$G50</f>
        <v>230</v>
      </c>
      <c r="U40" s="8">
        <f>'[3]לוח 3 table'!$G104</f>
        <v>502</v>
      </c>
      <c r="V40" s="7">
        <f t="shared" si="1"/>
        <v>943</v>
      </c>
      <c r="W40" s="8">
        <f>'[3]לוח 3 table'!$F50</f>
        <v>408</v>
      </c>
      <c r="X40" s="8">
        <f>'[3]לוח 3 table'!$F104</f>
        <v>535</v>
      </c>
      <c r="Y40" s="7">
        <f t="shared" si="2"/>
        <v>1193</v>
      </c>
      <c r="Z40" s="8">
        <f>'[3]לוח 3 table'!$E50</f>
        <v>334</v>
      </c>
      <c r="AA40" s="8">
        <f>'[3]לוח 3 table'!$E104</f>
        <v>859</v>
      </c>
      <c r="AB40" s="7">
        <f t="shared" si="3"/>
        <v>2107</v>
      </c>
      <c r="AC40" s="8">
        <f>'[3]לוח 3 table'!$D50</f>
        <v>877</v>
      </c>
      <c r="AD40" s="8">
        <f>'[3]לוח 3 table'!$D104</f>
        <v>1230</v>
      </c>
      <c r="AE40" s="7">
        <f t="shared" si="4"/>
        <v>1444</v>
      </c>
      <c r="AF40" s="8">
        <f>'[3]לוח 3 table'!$C50</f>
        <v>653</v>
      </c>
      <c r="AG40" s="8">
        <f>'[3]לוח 3 table'!$C104</f>
        <v>791</v>
      </c>
      <c r="AH40" s="7">
        <f t="shared" si="5"/>
        <v>1675</v>
      </c>
      <c r="AI40" s="8">
        <f>'[3]לוח 3 table'!$B50</f>
        <v>642</v>
      </c>
      <c r="AJ40" s="8">
        <f>'[3]לוח 3 table'!$B104</f>
        <v>1033</v>
      </c>
      <c r="AK40" s="7">
        <f t="shared" si="6"/>
        <v>206</v>
      </c>
      <c r="AL40" s="8">
        <f>'[3]לוח 3 table'!$A50</f>
        <v>45</v>
      </c>
      <c r="AM40" s="8">
        <f>'[3]לוח 3 table'!$A104</f>
        <v>161</v>
      </c>
    </row>
    <row r="41" spans="1:39" x14ac:dyDescent="0.3">
      <c r="A41" t="s">
        <v>95</v>
      </c>
      <c r="B41" t="s">
        <v>96</v>
      </c>
      <c r="C41">
        <v>2025</v>
      </c>
      <c r="D41">
        <v>4</v>
      </c>
      <c r="E41" t="s">
        <v>4</v>
      </c>
      <c r="F41" s="3">
        <v>4.5</v>
      </c>
      <c r="G41" s="1">
        <f>'[1]לוח 1 table'!$M40</f>
        <v>6282</v>
      </c>
      <c r="H41" s="1">
        <f>'[1]לוח 1 table'!$L40</f>
        <v>7242</v>
      </c>
      <c r="I41" s="1">
        <f>'[1]לוח 1 table'!$K40</f>
        <v>7521</v>
      </c>
      <c r="J41" s="1">
        <f>'[1]לוח 1 table'!$I40</f>
        <v>2353</v>
      </c>
      <c r="K41" s="1">
        <f>'[1]לוח 1 table'!$H40</f>
        <v>2734</v>
      </c>
      <c r="L41" s="1">
        <f>'[1]לוח 1 table'!$G40</f>
        <v>2865</v>
      </c>
      <c r="M41" s="1">
        <f>'[1]לוח 1 table'!$D40</f>
        <v>3929</v>
      </c>
      <c r="N41" s="1">
        <f>'[1]לוח 1 table'!$C40</f>
        <v>4507</v>
      </c>
      <c r="O41" s="1">
        <f>'[1]לוח 1 table'!$B40</f>
        <v>4681</v>
      </c>
      <c r="P41" s="7">
        <f>'[2]2'!$E36</f>
        <v>79408</v>
      </c>
      <c r="Q41" s="7">
        <f>'[2]2'!$D36</f>
        <v>80346</v>
      </c>
      <c r="R41" s="7">
        <f>'[2]2'!$C36</f>
        <v>79596</v>
      </c>
      <c r="S41" s="7">
        <f t="shared" si="0"/>
        <v>477</v>
      </c>
      <c r="T41" s="8">
        <f>'[3]לוח 3 table'!$G51</f>
        <v>159</v>
      </c>
      <c r="U41" s="8">
        <f>'[3]לוח 3 table'!$G105</f>
        <v>318</v>
      </c>
      <c r="V41" s="7">
        <f t="shared" si="1"/>
        <v>648</v>
      </c>
      <c r="W41" s="8">
        <f>'[3]לוח 3 table'!$F51</f>
        <v>212</v>
      </c>
      <c r="X41" s="8">
        <f>'[3]לוח 3 table'!$F105</f>
        <v>436</v>
      </c>
      <c r="Y41" s="7">
        <f t="shared" si="2"/>
        <v>869</v>
      </c>
      <c r="Z41" s="8">
        <f>'[3]לוח 3 table'!$E51</f>
        <v>172</v>
      </c>
      <c r="AA41" s="8">
        <f>'[3]לוח 3 table'!$E105</f>
        <v>697</v>
      </c>
      <c r="AB41" s="7">
        <f t="shared" si="3"/>
        <v>1629</v>
      </c>
      <c r="AC41" s="8">
        <f>'[3]לוח 3 table'!$D51</f>
        <v>701</v>
      </c>
      <c r="AD41" s="8">
        <f>'[3]לוח 3 table'!$D105</f>
        <v>928</v>
      </c>
      <c r="AE41" s="7">
        <f t="shared" si="4"/>
        <v>971</v>
      </c>
      <c r="AF41" s="8">
        <f>'[3]לוח 3 table'!$C51</f>
        <v>327</v>
      </c>
      <c r="AG41" s="8">
        <f>'[3]לוח 3 table'!$C105</f>
        <v>644</v>
      </c>
      <c r="AH41" s="7">
        <f t="shared" si="5"/>
        <v>1531</v>
      </c>
      <c r="AI41" s="8">
        <f>'[3]לוח 3 table'!$B51</f>
        <v>739</v>
      </c>
      <c r="AJ41" s="8">
        <f>'[3]לוח 3 table'!$B105</f>
        <v>792</v>
      </c>
      <c r="AK41" s="7">
        <f t="shared" si="6"/>
        <v>137</v>
      </c>
      <c r="AL41" s="8">
        <f>'[3]לוח 3 table'!$A51</f>
        <v>25</v>
      </c>
      <c r="AM41" s="8">
        <f>'[3]לוח 3 table'!$A105</f>
        <v>112</v>
      </c>
    </row>
    <row r="42" spans="1:39" x14ac:dyDescent="0.3">
      <c r="C42" s="1"/>
      <c r="D42" s="1"/>
      <c r="E42" s="1"/>
      <c r="F42" s="1"/>
      <c r="G42" s="1"/>
    </row>
    <row r="43" spans="1:39" x14ac:dyDescent="0.3">
      <c r="C43" s="1"/>
      <c r="D43" s="1"/>
      <c r="E43" s="1"/>
      <c r="F43" s="1"/>
      <c r="G43" s="1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Real Estate Transactions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סער פרדו</dc:creator>
  <cp:lastModifiedBy>סער פרדו</cp:lastModifiedBy>
  <dcterms:created xsi:type="dcterms:W3CDTF">2015-06-05T18:17:20Z</dcterms:created>
  <dcterms:modified xsi:type="dcterms:W3CDTF">2025-06-19T15:45:06Z</dcterms:modified>
</cp:coreProperties>
</file>